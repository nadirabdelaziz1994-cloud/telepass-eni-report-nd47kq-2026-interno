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elepassonline-my.sharepoint.com/personal/lorenzo_mazzetti_telepass_com/Documents/Desktop/"/>
    </mc:Choice>
  </mc:AlternateContent>
  <xr:revisionPtr revIDLastSave="0" documentId="8_{14BACC29-5A78-BE48-891E-FF158C2EB7EF}" xr6:coauthVersionLast="47" xr6:coauthVersionMax="47" xr10:uidLastSave="{00000000-0000-0000-0000-000000000000}"/>
  <bookViews>
    <workbookView xWindow="-108" yWindow="-108" windowWidth="41496" windowHeight="16776" xr2:uid="{7966141A-AE5E-4F7B-8206-1C8126ADFA84}"/>
  </bookViews>
  <sheets>
    <sheet name="ANALISI PROMO BUNDLE " sheetId="1" r:id="rId1"/>
    <sheet name="Sintesi Regione" sheetId="2" r:id="rId2"/>
  </sheets>
  <externalReferences>
    <externalReference r:id="rId3"/>
  </externalReferences>
  <definedNames>
    <definedName name="_xlnm._FilterDatabase" localSheetId="0" hidden="1">'ANALISI PROMO BUNDLE '!$A$2:$L$2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33" i="1" l="1"/>
  <c r="F333" i="1"/>
  <c r="E333" i="1"/>
  <c r="D333" i="1"/>
  <c r="C333" i="1"/>
  <c r="G459" i="1"/>
  <c r="F459" i="1"/>
  <c r="E459" i="1"/>
  <c r="D459" i="1"/>
  <c r="C459" i="1"/>
  <c r="G476" i="1"/>
  <c r="F476" i="1"/>
  <c r="E476" i="1"/>
  <c r="D476" i="1"/>
  <c r="C476" i="1"/>
  <c r="G332" i="1"/>
  <c r="F332" i="1"/>
  <c r="E332" i="1"/>
  <c r="D332" i="1"/>
  <c r="C332" i="1"/>
  <c r="G331" i="1"/>
  <c r="F331" i="1"/>
  <c r="E331" i="1"/>
  <c r="D331" i="1"/>
  <c r="C331" i="1"/>
  <c r="G390" i="1"/>
  <c r="F390" i="1"/>
  <c r="E390" i="1"/>
  <c r="D390" i="1"/>
  <c r="C390" i="1"/>
  <c r="G389" i="1"/>
  <c r="F389" i="1"/>
  <c r="E389" i="1"/>
  <c r="D389" i="1"/>
  <c r="C389" i="1"/>
  <c r="G458" i="1"/>
  <c r="F458" i="1"/>
  <c r="E458" i="1"/>
  <c r="D458" i="1"/>
  <c r="C458" i="1"/>
  <c r="G457" i="1"/>
  <c r="F457" i="1"/>
  <c r="E457" i="1"/>
  <c r="D457" i="1"/>
  <c r="C457" i="1"/>
  <c r="G456" i="1"/>
  <c r="F456" i="1"/>
  <c r="E456" i="1"/>
  <c r="D456" i="1"/>
  <c r="C456" i="1"/>
  <c r="G388" i="1"/>
  <c r="F388" i="1"/>
  <c r="E388" i="1"/>
  <c r="D388" i="1"/>
  <c r="C388" i="1"/>
  <c r="G330" i="1"/>
  <c r="F330" i="1"/>
  <c r="E330" i="1"/>
  <c r="D330" i="1"/>
  <c r="C330" i="1"/>
  <c r="G329" i="1"/>
  <c r="F329" i="1"/>
  <c r="E329" i="1"/>
  <c r="D329" i="1"/>
  <c r="C329" i="1"/>
  <c r="G328" i="1"/>
  <c r="F328" i="1"/>
  <c r="E328" i="1"/>
  <c r="D328" i="1"/>
  <c r="C328" i="1"/>
  <c r="G327" i="1"/>
  <c r="F327" i="1"/>
  <c r="E327" i="1"/>
  <c r="D327" i="1"/>
  <c r="C327" i="1"/>
  <c r="G387" i="1"/>
  <c r="F387" i="1"/>
  <c r="E387" i="1"/>
  <c r="D387" i="1"/>
  <c r="C387" i="1"/>
  <c r="G386" i="1"/>
  <c r="F386" i="1"/>
  <c r="E386" i="1"/>
  <c r="D386" i="1"/>
  <c r="C386" i="1"/>
  <c r="G385" i="1"/>
  <c r="F385" i="1"/>
  <c r="E385" i="1"/>
  <c r="D385" i="1"/>
  <c r="C385" i="1"/>
  <c r="G384" i="1"/>
  <c r="F384" i="1"/>
  <c r="E384" i="1"/>
  <c r="D384" i="1"/>
  <c r="C384" i="1"/>
  <c r="G455" i="1"/>
  <c r="F455" i="1"/>
  <c r="E455" i="1"/>
  <c r="D455" i="1"/>
  <c r="C455" i="1"/>
  <c r="G454" i="1"/>
  <c r="F454" i="1"/>
  <c r="E454" i="1"/>
  <c r="D454" i="1"/>
  <c r="C454" i="1"/>
  <c r="G326" i="1"/>
  <c r="F326" i="1"/>
  <c r="E326" i="1"/>
  <c r="D326" i="1"/>
  <c r="C326" i="1"/>
  <c r="G325" i="1"/>
  <c r="F325" i="1"/>
  <c r="E325" i="1"/>
  <c r="D325" i="1"/>
  <c r="C325" i="1"/>
  <c r="G453" i="1"/>
  <c r="F453" i="1"/>
  <c r="E453" i="1"/>
  <c r="D453" i="1"/>
  <c r="C453" i="1"/>
  <c r="G383" i="1"/>
  <c r="F383" i="1"/>
  <c r="E383" i="1"/>
  <c r="D383" i="1"/>
  <c r="C383" i="1"/>
  <c r="G382" i="1"/>
  <c r="F382" i="1"/>
  <c r="E382" i="1"/>
  <c r="D382" i="1"/>
  <c r="C382" i="1"/>
  <c r="G452" i="1"/>
  <c r="F452" i="1"/>
  <c r="E452" i="1"/>
  <c r="D452" i="1"/>
  <c r="C452" i="1"/>
  <c r="G475" i="1"/>
  <c r="F475" i="1"/>
  <c r="E475" i="1"/>
  <c r="D475" i="1"/>
  <c r="C475" i="1"/>
  <c r="G474" i="1"/>
  <c r="F474" i="1"/>
  <c r="E474" i="1"/>
  <c r="D474" i="1"/>
  <c r="C474" i="1"/>
  <c r="G473" i="1"/>
  <c r="F473" i="1"/>
  <c r="E473" i="1"/>
  <c r="D473" i="1"/>
  <c r="C473" i="1"/>
  <c r="G324" i="1"/>
  <c r="F324" i="1"/>
  <c r="E324" i="1"/>
  <c r="D324" i="1"/>
  <c r="C324" i="1"/>
  <c r="G472" i="1"/>
  <c r="F472" i="1"/>
  <c r="E472" i="1"/>
  <c r="D472" i="1"/>
  <c r="C472" i="1"/>
  <c r="G451" i="1"/>
  <c r="F451" i="1"/>
  <c r="E451" i="1"/>
  <c r="D451" i="1"/>
  <c r="C451" i="1"/>
  <c r="G450" i="1"/>
  <c r="F450" i="1"/>
  <c r="E450" i="1"/>
  <c r="D450" i="1"/>
  <c r="C450" i="1"/>
  <c r="G449" i="1"/>
  <c r="F449" i="1"/>
  <c r="E449" i="1"/>
  <c r="D449" i="1"/>
  <c r="C449" i="1"/>
  <c r="G381" i="1"/>
  <c r="F381" i="1"/>
  <c r="E381" i="1"/>
  <c r="D381" i="1"/>
  <c r="C381" i="1"/>
  <c r="G448" i="1"/>
  <c r="F448" i="1"/>
  <c r="E448" i="1"/>
  <c r="D448" i="1"/>
  <c r="C448" i="1"/>
  <c r="G380" i="1"/>
  <c r="F380" i="1"/>
  <c r="E380" i="1"/>
  <c r="D380" i="1"/>
  <c r="C380" i="1"/>
  <c r="G447" i="1"/>
  <c r="F447" i="1"/>
  <c r="E447" i="1"/>
  <c r="D447" i="1"/>
  <c r="C447" i="1"/>
  <c r="G446" i="1"/>
  <c r="F446" i="1"/>
  <c r="E446" i="1"/>
  <c r="D446" i="1"/>
  <c r="C446" i="1"/>
  <c r="G445" i="1"/>
  <c r="F445" i="1"/>
  <c r="E445" i="1"/>
  <c r="D445" i="1"/>
  <c r="C445" i="1"/>
  <c r="G471" i="1"/>
  <c r="F471" i="1"/>
  <c r="E471" i="1"/>
  <c r="D471" i="1"/>
  <c r="C471" i="1"/>
  <c r="G323" i="1"/>
  <c r="F323" i="1"/>
  <c r="E323" i="1"/>
  <c r="D323" i="1"/>
  <c r="C323" i="1"/>
  <c r="G444" i="1"/>
  <c r="F444" i="1"/>
  <c r="E444" i="1"/>
  <c r="D444" i="1"/>
  <c r="C444" i="1"/>
  <c r="G322" i="1"/>
  <c r="F322" i="1"/>
  <c r="E322" i="1"/>
  <c r="D322" i="1"/>
  <c r="C322" i="1"/>
  <c r="G379" i="1"/>
  <c r="F379" i="1"/>
  <c r="E379" i="1"/>
  <c r="D379" i="1"/>
  <c r="C379" i="1"/>
  <c r="G378" i="1"/>
  <c r="F378" i="1"/>
  <c r="E378" i="1"/>
  <c r="D378" i="1"/>
  <c r="C378" i="1"/>
  <c r="G470" i="1"/>
  <c r="F470" i="1"/>
  <c r="E470" i="1"/>
  <c r="D470" i="1"/>
  <c r="C470" i="1"/>
  <c r="G377" i="1"/>
  <c r="F377" i="1"/>
  <c r="E377" i="1"/>
  <c r="D377" i="1"/>
  <c r="C377" i="1"/>
  <c r="G376" i="1"/>
  <c r="F376" i="1"/>
  <c r="E376" i="1"/>
  <c r="D376" i="1"/>
  <c r="C376" i="1"/>
  <c r="G469" i="1"/>
  <c r="F469" i="1"/>
  <c r="E469" i="1"/>
  <c r="D469" i="1"/>
  <c r="C469" i="1"/>
  <c r="G443" i="1"/>
  <c r="F443" i="1"/>
  <c r="E443" i="1"/>
  <c r="D443" i="1"/>
  <c r="C443" i="1"/>
  <c r="G375" i="1"/>
  <c r="F375" i="1"/>
  <c r="E375" i="1"/>
  <c r="D375" i="1"/>
  <c r="C375" i="1"/>
  <c r="G374" i="1"/>
  <c r="F374" i="1"/>
  <c r="E374" i="1"/>
  <c r="D374" i="1"/>
  <c r="C374" i="1"/>
  <c r="G442" i="1"/>
  <c r="F442" i="1"/>
  <c r="E442" i="1"/>
  <c r="D442" i="1"/>
  <c r="C442" i="1"/>
  <c r="G373" i="1"/>
  <c r="F373" i="1"/>
  <c r="E373" i="1"/>
  <c r="D373" i="1"/>
  <c r="C373" i="1"/>
  <c r="G441" i="1"/>
  <c r="F441" i="1"/>
  <c r="E441" i="1"/>
  <c r="D441" i="1"/>
  <c r="C441" i="1"/>
  <c r="G440" i="1"/>
  <c r="F440" i="1"/>
  <c r="E440" i="1"/>
  <c r="D440" i="1"/>
  <c r="C440" i="1"/>
  <c r="G439" i="1"/>
  <c r="F439" i="1"/>
  <c r="E439" i="1"/>
  <c r="D439" i="1"/>
  <c r="C439" i="1"/>
  <c r="G438" i="1"/>
  <c r="F438" i="1"/>
  <c r="E438" i="1"/>
  <c r="D438" i="1"/>
  <c r="C438" i="1"/>
  <c r="G437" i="1"/>
  <c r="F437" i="1"/>
  <c r="E437" i="1"/>
  <c r="D437" i="1"/>
  <c r="C437" i="1"/>
  <c r="G436" i="1"/>
  <c r="F436" i="1"/>
  <c r="E436" i="1"/>
  <c r="D436" i="1"/>
  <c r="C436" i="1"/>
  <c r="G372" i="1"/>
  <c r="F372" i="1"/>
  <c r="E372" i="1"/>
  <c r="D372" i="1"/>
  <c r="C372" i="1"/>
  <c r="G477" i="1"/>
  <c r="F477" i="1"/>
  <c r="E477" i="1"/>
  <c r="D477" i="1"/>
  <c r="C477" i="1"/>
  <c r="G321" i="1"/>
  <c r="F321" i="1"/>
  <c r="E321" i="1"/>
  <c r="D321" i="1"/>
  <c r="C321" i="1"/>
  <c r="G320" i="1"/>
  <c r="F320" i="1"/>
  <c r="E320" i="1"/>
  <c r="D320" i="1"/>
  <c r="C320" i="1"/>
  <c r="G319" i="1"/>
  <c r="F319" i="1"/>
  <c r="E319" i="1"/>
  <c r="D319" i="1"/>
  <c r="C319" i="1"/>
  <c r="G468" i="1"/>
  <c r="F468" i="1"/>
  <c r="E468" i="1"/>
  <c r="D468" i="1"/>
  <c r="C468" i="1"/>
  <c r="G318" i="1"/>
  <c r="F318" i="1"/>
  <c r="E318" i="1"/>
  <c r="D318" i="1"/>
  <c r="C318" i="1"/>
  <c r="G317" i="1"/>
  <c r="F317" i="1"/>
  <c r="E317" i="1"/>
  <c r="D317" i="1"/>
  <c r="C317" i="1"/>
  <c r="G316" i="1"/>
  <c r="F316" i="1"/>
  <c r="E316" i="1"/>
  <c r="D316" i="1"/>
  <c r="C316" i="1"/>
  <c r="G371" i="1"/>
  <c r="F371" i="1"/>
  <c r="E371" i="1"/>
  <c r="D371" i="1"/>
  <c r="C371" i="1"/>
  <c r="G370" i="1"/>
  <c r="F370" i="1"/>
  <c r="E370" i="1"/>
  <c r="D370" i="1"/>
  <c r="C370" i="1"/>
  <c r="G315" i="1"/>
  <c r="F315" i="1"/>
  <c r="E315" i="1"/>
  <c r="D315" i="1"/>
  <c r="C315" i="1"/>
  <c r="G369" i="1"/>
  <c r="F369" i="1"/>
  <c r="E369" i="1"/>
  <c r="D369" i="1"/>
  <c r="C369" i="1"/>
  <c r="G368" i="1"/>
  <c r="F368" i="1"/>
  <c r="E368" i="1"/>
  <c r="D368" i="1"/>
  <c r="C368" i="1"/>
  <c r="G467" i="1"/>
  <c r="F467" i="1"/>
  <c r="E467" i="1"/>
  <c r="D467" i="1"/>
  <c r="C467" i="1"/>
  <c r="G466" i="1"/>
  <c r="F466" i="1"/>
  <c r="E466" i="1"/>
  <c r="D466" i="1"/>
  <c r="C466" i="1"/>
  <c r="G367" i="1"/>
  <c r="F367" i="1"/>
  <c r="E367" i="1"/>
  <c r="D367" i="1"/>
  <c r="C367" i="1"/>
  <c r="G314" i="1"/>
  <c r="F314" i="1"/>
  <c r="E314" i="1"/>
  <c r="D314" i="1"/>
  <c r="C314" i="1"/>
  <c r="G313" i="1"/>
  <c r="F313" i="1"/>
  <c r="E313" i="1"/>
  <c r="D313" i="1"/>
  <c r="C313" i="1"/>
  <c r="G312" i="1"/>
  <c r="F312" i="1"/>
  <c r="E312" i="1"/>
  <c r="D312" i="1"/>
  <c r="C312" i="1"/>
  <c r="G366" i="1"/>
  <c r="F366" i="1"/>
  <c r="E366" i="1"/>
  <c r="D366" i="1"/>
  <c r="C366" i="1"/>
  <c r="G365" i="1"/>
  <c r="F365" i="1"/>
  <c r="E365" i="1"/>
  <c r="D365" i="1"/>
  <c r="C365" i="1"/>
  <c r="G364" i="1"/>
  <c r="F364" i="1"/>
  <c r="E364" i="1"/>
  <c r="D364" i="1"/>
  <c r="C364" i="1"/>
  <c r="G363" i="1"/>
  <c r="F363" i="1"/>
  <c r="E363" i="1"/>
  <c r="D363" i="1"/>
  <c r="C363" i="1"/>
  <c r="G362" i="1"/>
  <c r="F362" i="1"/>
  <c r="E362" i="1"/>
  <c r="D362" i="1"/>
  <c r="C362" i="1"/>
  <c r="G361" i="1"/>
  <c r="F361" i="1"/>
  <c r="E361" i="1"/>
  <c r="D361" i="1"/>
  <c r="C361" i="1"/>
  <c r="G360" i="1"/>
  <c r="F360" i="1"/>
  <c r="E360" i="1"/>
  <c r="D360" i="1"/>
  <c r="C360" i="1"/>
  <c r="G359" i="1"/>
  <c r="F359" i="1"/>
  <c r="E359" i="1"/>
  <c r="D359" i="1"/>
  <c r="C359" i="1"/>
  <c r="G435" i="1"/>
  <c r="F435" i="1"/>
  <c r="E435" i="1"/>
  <c r="D435" i="1"/>
  <c r="C435" i="1"/>
  <c r="G434" i="1"/>
  <c r="F434" i="1"/>
  <c r="E434" i="1"/>
  <c r="D434" i="1"/>
  <c r="C434" i="1"/>
  <c r="G433" i="1"/>
  <c r="F433" i="1"/>
  <c r="E433" i="1"/>
  <c r="D433" i="1"/>
  <c r="C433" i="1"/>
  <c r="G432" i="1"/>
  <c r="F432" i="1"/>
  <c r="E432" i="1"/>
  <c r="D432" i="1"/>
  <c r="C432" i="1"/>
  <c r="G431" i="1"/>
  <c r="F431" i="1"/>
  <c r="E431" i="1"/>
  <c r="D431" i="1"/>
  <c r="C431" i="1"/>
  <c r="G311" i="1"/>
  <c r="F311" i="1"/>
  <c r="E311" i="1"/>
  <c r="D311" i="1"/>
  <c r="C311" i="1"/>
  <c r="G465" i="1"/>
  <c r="F465" i="1"/>
  <c r="E465" i="1"/>
  <c r="D465" i="1"/>
  <c r="C465" i="1"/>
  <c r="G464" i="1"/>
  <c r="F464" i="1"/>
  <c r="E464" i="1"/>
  <c r="D464" i="1"/>
  <c r="C464" i="1"/>
  <c r="G463" i="1"/>
  <c r="F463" i="1"/>
  <c r="E463" i="1"/>
  <c r="D463" i="1"/>
  <c r="C463" i="1"/>
  <c r="G462" i="1"/>
  <c r="F462" i="1"/>
  <c r="E462" i="1"/>
  <c r="D462" i="1"/>
  <c r="C462" i="1"/>
  <c r="G461" i="1"/>
  <c r="F461" i="1"/>
  <c r="E461" i="1"/>
  <c r="D461" i="1"/>
  <c r="C461" i="1"/>
  <c r="G460" i="1"/>
  <c r="F460" i="1"/>
  <c r="E460" i="1"/>
  <c r="D460" i="1"/>
  <c r="C460" i="1"/>
  <c r="G310" i="1"/>
  <c r="F310" i="1"/>
  <c r="E310" i="1"/>
  <c r="D310" i="1"/>
  <c r="C310" i="1"/>
  <c r="G309" i="1"/>
  <c r="F309" i="1"/>
  <c r="E309" i="1"/>
  <c r="D309" i="1"/>
  <c r="C309" i="1"/>
  <c r="G308" i="1"/>
  <c r="F308" i="1"/>
  <c r="E308" i="1"/>
  <c r="D308" i="1"/>
  <c r="C308" i="1"/>
  <c r="G358" i="1"/>
  <c r="F358" i="1"/>
  <c r="E358" i="1"/>
  <c r="D358" i="1"/>
  <c r="C358" i="1"/>
  <c r="G307" i="1"/>
  <c r="F307" i="1"/>
  <c r="E307" i="1"/>
  <c r="D307" i="1"/>
  <c r="C307" i="1"/>
  <c r="G306" i="1"/>
  <c r="F306" i="1"/>
  <c r="E306" i="1"/>
  <c r="D306" i="1"/>
  <c r="C306" i="1"/>
  <c r="G305" i="1"/>
  <c r="F305" i="1"/>
  <c r="E305" i="1"/>
  <c r="D305" i="1"/>
  <c r="C305" i="1"/>
  <c r="G304" i="1"/>
  <c r="F304" i="1"/>
  <c r="E304" i="1"/>
  <c r="D304" i="1"/>
  <c r="C304" i="1"/>
  <c r="G357" i="1"/>
  <c r="F357" i="1"/>
  <c r="E357" i="1"/>
  <c r="D357" i="1"/>
  <c r="C357" i="1"/>
  <c r="G356" i="1"/>
  <c r="F356" i="1"/>
  <c r="E356" i="1"/>
  <c r="D356" i="1"/>
  <c r="C356" i="1"/>
  <c r="G303" i="1"/>
  <c r="F303" i="1"/>
  <c r="E303" i="1"/>
  <c r="D303" i="1"/>
  <c r="C303" i="1"/>
  <c r="G302" i="1"/>
  <c r="F302" i="1"/>
  <c r="E302" i="1"/>
  <c r="D302" i="1"/>
  <c r="C302" i="1"/>
  <c r="G301" i="1"/>
  <c r="F301" i="1"/>
  <c r="E301" i="1"/>
  <c r="D301" i="1"/>
  <c r="C301" i="1"/>
  <c r="G355" i="1"/>
  <c r="F355" i="1"/>
  <c r="E355" i="1"/>
  <c r="D355" i="1"/>
  <c r="C355" i="1"/>
  <c r="G354" i="1"/>
  <c r="F354" i="1"/>
  <c r="E354" i="1"/>
  <c r="D354" i="1"/>
  <c r="C354" i="1"/>
  <c r="G353" i="1"/>
  <c r="F353" i="1"/>
  <c r="E353" i="1"/>
  <c r="D353" i="1"/>
  <c r="C353" i="1"/>
  <c r="G352" i="1"/>
  <c r="F352" i="1"/>
  <c r="E352" i="1"/>
  <c r="D352" i="1"/>
  <c r="C352" i="1"/>
  <c r="G351" i="1"/>
  <c r="F351" i="1"/>
  <c r="E351" i="1"/>
  <c r="D351" i="1"/>
  <c r="C351" i="1"/>
  <c r="G350" i="1"/>
  <c r="F350" i="1"/>
  <c r="E350" i="1"/>
  <c r="D350" i="1"/>
  <c r="C350" i="1"/>
  <c r="G349" i="1"/>
  <c r="F349" i="1"/>
  <c r="E349" i="1"/>
  <c r="D349" i="1"/>
  <c r="C349" i="1"/>
  <c r="G348" i="1"/>
  <c r="F348" i="1"/>
  <c r="E348" i="1"/>
  <c r="D348" i="1"/>
  <c r="C348" i="1"/>
  <c r="G347" i="1"/>
  <c r="F347" i="1"/>
  <c r="E347" i="1"/>
  <c r="D347" i="1"/>
  <c r="C347" i="1"/>
  <c r="G346" i="1"/>
  <c r="F346" i="1"/>
  <c r="E346" i="1"/>
  <c r="D346" i="1"/>
  <c r="C346" i="1"/>
  <c r="G345" i="1"/>
  <c r="F345" i="1"/>
  <c r="E345" i="1"/>
  <c r="D345" i="1"/>
  <c r="C345" i="1"/>
  <c r="G344" i="1"/>
  <c r="F344" i="1"/>
  <c r="E344" i="1"/>
  <c r="D344" i="1"/>
  <c r="C344" i="1"/>
  <c r="G343" i="1"/>
  <c r="F343" i="1"/>
  <c r="E343" i="1"/>
  <c r="D343" i="1"/>
  <c r="C343" i="1"/>
  <c r="G300" i="1"/>
  <c r="F300" i="1"/>
  <c r="E300" i="1"/>
  <c r="D300" i="1"/>
  <c r="C300" i="1"/>
  <c r="G299" i="1"/>
  <c r="F299" i="1"/>
  <c r="E299" i="1"/>
  <c r="D299" i="1"/>
  <c r="C299" i="1"/>
  <c r="G298" i="1"/>
  <c r="F298" i="1"/>
  <c r="E298" i="1"/>
  <c r="D298" i="1"/>
  <c r="C298" i="1"/>
  <c r="G297" i="1"/>
  <c r="F297" i="1"/>
  <c r="E297" i="1"/>
  <c r="D297" i="1"/>
  <c r="C297" i="1"/>
  <c r="G342" i="1"/>
  <c r="F342" i="1"/>
  <c r="E342" i="1"/>
  <c r="D342" i="1"/>
  <c r="C342" i="1"/>
  <c r="G341" i="1"/>
  <c r="F341" i="1"/>
  <c r="E341" i="1"/>
  <c r="D341" i="1"/>
  <c r="C341" i="1"/>
  <c r="G340" i="1"/>
  <c r="F340" i="1"/>
  <c r="E340" i="1"/>
  <c r="D340" i="1"/>
  <c r="C340" i="1"/>
  <c r="G339" i="1"/>
  <c r="F339" i="1"/>
  <c r="E339" i="1"/>
  <c r="D339" i="1"/>
  <c r="C339" i="1"/>
  <c r="G338" i="1"/>
  <c r="F338" i="1"/>
  <c r="E338" i="1"/>
  <c r="D338" i="1"/>
  <c r="C338" i="1"/>
  <c r="G337" i="1"/>
  <c r="F337" i="1"/>
  <c r="E337" i="1"/>
  <c r="D337" i="1"/>
  <c r="C337" i="1"/>
  <c r="G336" i="1"/>
  <c r="F336" i="1"/>
  <c r="E336" i="1"/>
  <c r="D336" i="1"/>
  <c r="C336" i="1"/>
  <c r="G335" i="1"/>
  <c r="F335" i="1"/>
  <c r="E335" i="1"/>
  <c r="D335" i="1"/>
  <c r="C335" i="1"/>
  <c r="G430" i="1"/>
  <c r="F430" i="1"/>
  <c r="E430" i="1"/>
  <c r="D430" i="1"/>
  <c r="C430" i="1"/>
  <c r="G429" i="1"/>
  <c r="F429" i="1"/>
  <c r="E429" i="1"/>
  <c r="D429" i="1"/>
  <c r="C429" i="1"/>
  <c r="G334" i="1"/>
  <c r="F334" i="1"/>
  <c r="E334" i="1"/>
  <c r="D334" i="1"/>
  <c r="C334" i="1"/>
  <c r="G428" i="1"/>
  <c r="F428" i="1"/>
  <c r="E428" i="1"/>
  <c r="D428" i="1"/>
  <c r="C428" i="1"/>
  <c r="G427" i="1"/>
  <c r="F427" i="1"/>
  <c r="E427" i="1"/>
  <c r="D427" i="1"/>
  <c r="C427" i="1"/>
  <c r="G426" i="1"/>
  <c r="F426" i="1"/>
  <c r="E426" i="1"/>
  <c r="D426" i="1"/>
  <c r="C426" i="1"/>
  <c r="G425" i="1"/>
  <c r="F425" i="1"/>
  <c r="E425" i="1"/>
  <c r="D425" i="1"/>
  <c r="C425" i="1"/>
  <c r="G424" i="1"/>
  <c r="F424" i="1"/>
  <c r="E424" i="1"/>
  <c r="D424" i="1"/>
  <c r="C424" i="1"/>
  <c r="G423" i="1"/>
  <c r="F423" i="1"/>
  <c r="E423" i="1"/>
  <c r="D423" i="1"/>
  <c r="C423" i="1"/>
  <c r="G422" i="1"/>
  <c r="F422" i="1"/>
  <c r="E422" i="1"/>
  <c r="D422" i="1"/>
  <c r="C422" i="1"/>
  <c r="G421" i="1"/>
  <c r="F421" i="1"/>
  <c r="E421" i="1"/>
  <c r="D421" i="1"/>
  <c r="C421" i="1"/>
  <c r="G420" i="1"/>
  <c r="F420" i="1"/>
  <c r="E420" i="1"/>
  <c r="D420" i="1"/>
  <c r="C420" i="1"/>
  <c r="G419" i="1"/>
  <c r="F419" i="1"/>
  <c r="E419" i="1"/>
  <c r="D419" i="1"/>
  <c r="C419" i="1"/>
  <c r="G418" i="1"/>
  <c r="F418" i="1"/>
  <c r="E418" i="1"/>
  <c r="D418" i="1"/>
  <c r="C418" i="1"/>
  <c r="G417" i="1"/>
  <c r="F417" i="1"/>
  <c r="E417" i="1"/>
  <c r="D417" i="1"/>
  <c r="C417" i="1"/>
  <c r="G416" i="1"/>
  <c r="F416" i="1"/>
  <c r="E416" i="1"/>
  <c r="D416" i="1"/>
  <c r="C416" i="1"/>
  <c r="G415" i="1"/>
  <c r="F415" i="1"/>
  <c r="E415" i="1"/>
  <c r="D415" i="1"/>
  <c r="C415" i="1"/>
  <c r="G414" i="1"/>
  <c r="F414" i="1"/>
  <c r="E414" i="1"/>
  <c r="D414" i="1"/>
  <c r="C414" i="1"/>
  <c r="G413" i="1"/>
  <c r="F413" i="1"/>
  <c r="E413" i="1"/>
  <c r="D413" i="1"/>
  <c r="C413" i="1"/>
  <c r="G412" i="1"/>
  <c r="F412" i="1"/>
  <c r="E412" i="1"/>
  <c r="D412" i="1"/>
  <c r="C412" i="1"/>
  <c r="G411" i="1"/>
  <c r="F411" i="1"/>
  <c r="E411" i="1"/>
  <c r="D411" i="1"/>
  <c r="C411" i="1"/>
  <c r="G410" i="1"/>
  <c r="F410" i="1"/>
  <c r="E410" i="1"/>
  <c r="D410" i="1"/>
  <c r="C410" i="1"/>
  <c r="G409" i="1"/>
  <c r="F409" i="1"/>
  <c r="E409" i="1"/>
  <c r="D409" i="1"/>
  <c r="C409" i="1"/>
  <c r="G408" i="1"/>
  <c r="F408" i="1"/>
  <c r="E408" i="1"/>
  <c r="D408" i="1"/>
  <c r="C408" i="1"/>
  <c r="G407" i="1"/>
  <c r="F407" i="1"/>
  <c r="E407" i="1"/>
  <c r="D407" i="1"/>
  <c r="C407" i="1"/>
  <c r="G406" i="1"/>
  <c r="F406" i="1"/>
  <c r="E406" i="1"/>
  <c r="D406" i="1"/>
  <c r="C406" i="1"/>
  <c r="G405" i="1"/>
  <c r="F405" i="1"/>
  <c r="E405" i="1"/>
  <c r="D405" i="1"/>
  <c r="C405" i="1"/>
  <c r="G404" i="1"/>
  <c r="F404" i="1"/>
  <c r="E404" i="1"/>
  <c r="D404" i="1"/>
  <c r="C404" i="1"/>
  <c r="G403" i="1"/>
  <c r="F403" i="1"/>
  <c r="E403" i="1"/>
  <c r="D403" i="1"/>
  <c r="C403" i="1"/>
  <c r="G402" i="1"/>
  <c r="F402" i="1"/>
  <c r="E402" i="1"/>
  <c r="D402" i="1"/>
  <c r="C402" i="1"/>
  <c r="G401" i="1"/>
  <c r="F401" i="1"/>
  <c r="E401" i="1"/>
  <c r="D401" i="1"/>
  <c r="C401" i="1"/>
  <c r="G400" i="1"/>
  <c r="F400" i="1"/>
  <c r="E400" i="1"/>
  <c r="D400" i="1"/>
  <c r="C400" i="1"/>
  <c r="G399" i="1"/>
  <c r="F399" i="1"/>
  <c r="E399" i="1"/>
  <c r="D399" i="1"/>
  <c r="C399" i="1"/>
  <c r="G398" i="1"/>
  <c r="F398" i="1"/>
  <c r="E398" i="1"/>
  <c r="D398" i="1"/>
  <c r="C398" i="1"/>
  <c r="G397" i="1"/>
  <c r="F397" i="1"/>
  <c r="E397" i="1"/>
  <c r="D397" i="1"/>
  <c r="C397" i="1"/>
  <c r="G396" i="1"/>
  <c r="F396" i="1"/>
  <c r="E396" i="1"/>
  <c r="D396" i="1"/>
  <c r="C396" i="1"/>
  <c r="G395" i="1"/>
  <c r="F395" i="1"/>
  <c r="E395" i="1"/>
  <c r="D395" i="1"/>
  <c r="C395" i="1"/>
  <c r="G394" i="1"/>
  <c r="F394" i="1"/>
  <c r="E394" i="1"/>
  <c r="D394" i="1"/>
  <c r="C394" i="1"/>
  <c r="G393" i="1"/>
  <c r="F393" i="1"/>
  <c r="E393" i="1"/>
  <c r="D393" i="1"/>
  <c r="C393" i="1"/>
  <c r="G392" i="1"/>
  <c r="F392" i="1"/>
  <c r="E392" i="1"/>
  <c r="D392" i="1"/>
  <c r="C392" i="1"/>
  <c r="G391" i="1"/>
  <c r="F391" i="1"/>
  <c r="E391" i="1"/>
  <c r="D391" i="1"/>
  <c r="C391" i="1"/>
  <c r="G282" i="1"/>
  <c r="F282" i="1"/>
  <c r="E282" i="1"/>
  <c r="D282" i="1"/>
  <c r="C282" i="1"/>
  <c r="G281" i="1"/>
  <c r="F281" i="1"/>
  <c r="E281" i="1"/>
  <c r="D281" i="1"/>
  <c r="C281" i="1"/>
  <c r="G247" i="1"/>
  <c r="F247" i="1"/>
  <c r="E247" i="1"/>
  <c r="D247" i="1"/>
  <c r="C247" i="1"/>
  <c r="G295" i="1"/>
  <c r="F295" i="1"/>
  <c r="E295" i="1"/>
  <c r="D295" i="1"/>
  <c r="C295" i="1"/>
  <c r="G294" i="1"/>
  <c r="F294" i="1"/>
  <c r="E294" i="1"/>
  <c r="D294" i="1"/>
  <c r="C294" i="1"/>
  <c r="G261" i="1"/>
  <c r="F261" i="1"/>
  <c r="E261" i="1"/>
  <c r="D261" i="1"/>
  <c r="C261" i="1"/>
  <c r="G296" i="1"/>
  <c r="F296" i="1"/>
  <c r="E296" i="1"/>
  <c r="D296" i="1"/>
  <c r="C296" i="1"/>
  <c r="G280" i="1"/>
  <c r="F280" i="1"/>
  <c r="E280" i="1"/>
  <c r="D280" i="1"/>
  <c r="C280" i="1"/>
  <c r="G246" i="1"/>
  <c r="F246" i="1"/>
  <c r="E246" i="1"/>
  <c r="D246" i="1"/>
  <c r="C246" i="1"/>
  <c r="G260" i="1"/>
  <c r="F260" i="1"/>
  <c r="E260" i="1"/>
  <c r="D260" i="1"/>
  <c r="C260" i="1"/>
  <c r="G259" i="1"/>
  <c r="F259" i="1"/>
  <c r="E259" i="1"/>
  <c r="D259" i="1"/>
  <c r="C259" i="1"/>
  <c r="G279" i="1"/>
  <c r="F279" i="1"/>
  <c r="E279" i="1"/>
  <c r="D279" i="1"/>
  <c r="C279" i="1"/>
  <c r="G258" i="1"/>
  <c r="F258" i="1"/>
  <c r="E258" i="1"/>
  <c r="D258" i="1"/>
  <c r="C258" i="1"/>
  <c r="G278" i="1"/>
  <c r="F278" i="1"/>
  <c r="E278" i="1"/>
  <c r="D278" i="1"/>
  <c r="C278" i="1"/>
  <c r="G277" i="1"/>
  <c r="F277" i="1"/>
  <c r="E277" i="1"/>
  <c r="D277" i="1"/>
  <c r="C277" i="1"/>
  <c r="G293" i="1"/>
  <c r="F293" i="1"/>
  <c r="E293" i="1"/>
  <c r="D293" i="1"/>
  <c r="C293" i="1"/>
  <c r="G292" i="1"/>
  <c r="F292" i="1"/>
  <c r="E292" i="1"/>
  <c r="D292" i="1"/>
  <c r="C292" i="1"/>
  <c r="G291" i="1"/>
  <c r="F291" i="1"/>
  <c r="E291" i="1"/>
  <c r="D291" i="1"/>
  <c r="C291" i="1"/>
  <c r="G245" i="1"/>
  <c r="F245" i="1"/>
  <c r="E245" i="1"/>
  <c r="D245" i="1"/>
  <c r="C245" i="1"/>
  <c r="G244" i="1"/>
  <c r="F244" i="1"/>
  <c r="E244" i="1"/>
  <c r="D244" i="1"/>
  <c r="C244" i="1"/>
  <c r="G243" i="1"/>
  <c r="F243" i="1"/>
  <c r="E243" i="1"/>
  <c r="D243" i="1"/>
  <c r="C243" i="1"/>
  <c r="G257" i="1"/>
  <c r="F257" i="1"/>
  <c r="E257" i="1"/>
  <c r="D257" i="1"/>
  <c r="C257" i="1"/>
  <c r="G256" i="1"/>
  <c r="F256" i="1"/>
  <c r="E256" i="1"/>
  <c r="D256" i="1"/>
  <c r="C256" i="1"/>
  <c r="G290" i="1"/>
  <c r="F290" i="1"/>
  <c r="E290" i="1"/>
  <c r="D290" i="1"/>
  <c r="C290" i="1"/>
  <c r="G289" i="1"/>
  <c r="F289" i="1"/>
  <c r="E289" i="1"/>
  <c r="D289" i="1"/>
  <c r="C289" i="1"/>
  <c r="G255" i="1"/>
  <c r="F255" i="1"/>
  <c r="E255" i="1"/>
  <c r="D255" i="1"/>
  <c r="C255" i="1"/>
  <c r="G242" i="1"/>
  <c r="F242" i="1"/>
  <c r="E242" i="1"/>
  <c r="D242" i="1"/>
  <c r="C242" i="1"/>
  <c r="G276" i="1"/>
  <c r="F276" i="1"/>
  <c r="E276" i="1"/>
  <c r="D276" i="1"/>
  <c r="C276" i="1"/>
  <c r="G288" i="1"/>
  <c r="F288" i="1"/>
  <c r="E288" i="1"/>
  <c r="D288" i="1"/>
  <c r="C288" i="1"/>
  <c r="G287" i="1"/>
  <c r="F287" i="1"/>
  <c r="E287" i="1"/>
  <c r="D287" i="1"/>
  <c r="C287" i="1"/>
  <c r="G286" i="1"/>
  <c r="F286" i="1"/>
  <c r="E286" i="1"/>
  <c r="D286" i="1"/>
  <c r="C286" i="1"/>
  <c r="G285" i="1"/>
  <c r="F285" i="1"/>
  <c r="E285" i="1"/>
  <c r="D285" i="1"/>
  <c r="C285" i="1"/>
  <c r="G284" i="1"/>
  <c r="F284" i="1"/>
  <c r="E284" i="1"/>
  <c r="D284" i="1"/>
  <c r="C284" i="1"/>
  <c r="G283" i="1"/>
  <c r="F283" i="1"/>
  <c r="E283" i="1"/>
  <c r="D283" i="1"/>
  <c r="C283" i="1"/>
  <c r="G241" i="1"/>
  <c r="F241" i="1"/>
  <c r="E241" i="1"/>
  <c r="D241" i="1"/>
  <c r="C241" i="1"/>
  <c r="G240" i="1"/>
  <c r="F240" i="1"/>
  <c r="E240" i="1"/>
  <c r="D240" i="1"/>
  <c r="C240" i="1"/>
  <c r="G239" i="1"/>
  <c r="F239" i="1"/>
  <c r="E239" i="1"/>
  <c r="D239" i="1"/>
  <c r="C239" i="1"/>
  <c r="G238" i="1"/>
  <c r="F238" i="1"/>
  <c r="E238" i="1"/>
  <c r="D238" i="1"/>
  <c r="C238" i="1"/>
  <c r="G237" i="1"/>
  <c r="F237" i="1"/>
  <c r="E237" i="1"/>
  <c r="D237" i="1"/>
  <c r="C237" i="1"/>
  <c r="G236" i="1"/>
  <c r="F236" i="1"/>
  <c r="E236" i="1"/>
  <c r="D236" i="1"/>
  <c r="C236" i="1"/>
  <c r="G254" i="1"/>
  <c r="F254" i="1"/>
  <c r="E254" i="1"/>
  <c r="D254" i="1"/>
  <c r="C254" i="1"/>
  <c r="G253" i="1"/>
  <c r="F253" i="1"/>
  <c r="E253" i="1"/>
  <c r="D253" i="1"/>
  <c r="C253" i="1"/>
  <c r="G235" i="1"/>
  <c r="F235" i="1"/>
  <c r="E235" i="1"/>
  <c r="D235" i="1"/>
  <c r="C235" i="1"/>
  <c r="G234" i="1"/>
  <c r="F234" i="1"/>
  <c r="E234" i="1"/>
  <c r="D234" i="1"/>
  <c r="C234" i="1"/>
  <c r="G233" i="1"/>
  <c r="F233" i="1"/>
  <c r="E233" i="1"/>
  <c r="D233" i="1"/>
  <c r="C233" i="1"/>
  <c r="G252" i="1"/>
  <c r="F252" i="1"/>
  <c r="E252" i="1"/>
  <c r="D252" i="1"/>
  <c r="C252" i="1"/>
  <c r="G251" i="1"/>
  <c r="F251" i="1"/>
  <c r="E251" i="1"/>
  <c r="D251" i="1"/>
  <c r="C251" i="1"/>
  <c r="G250" i="1"/>
  <c r="F250" i="1"/>
  <c r="E250" i="1"/>
  <c r="D250" i="1"/>
  <c r="C250" i="1"/>
  <c r="G249" i="1"/>
  <c r="F249" i="1"/>
  <c r="E249" i="1"/>
  <c r="D249" i="1"/>
  <c r="C249" i="1"/>
  <c r="G248" i="1"/>
  <c r="F248" i="1"/>
  <c r="E248" i="1"/>
  <c r="D248" i="1"/>
  <c r="C248" i="1"/>
  <c r="G275" i="1"/>
  <c r="F275" i="1"/>
  <c r="E275" i="1"/>
  <c r="D275" i="1"/>
  <c r="C275" i="1"/>
  <c r="G274" i="1"/>
  <c r="F274" i="1"/>
  <c r="E274" i="1"/>
  <c r="D274" i="1"/>
  <c r="C274" i="1"/>
  <c r="G273" i="1"/>
  <c r="F273" i="1"/>
  <c r="E273" i="1"/>
  <c r="D273" i="1"/>
  <c r="C273" i="1"/>
  <c r="G272" i="1"/>
  <c r="F272" i="1"/>
  <c r="E272" i="1"/>
  <c r="D272" i="1"/>
  <c r="C272" i="1"/>
  <c r="G271" i="1"/>
  <c r="F271" i="1"/>
  <c r="E271" i="1"/>
  <c r="D271" i="1"/>
  <c r="C271" i="1"/>
  <c r="G270" i="1"/>
  <c r="F270" i="1"/>
  <c r="E270" i="1"/>
  <c r="D270" i="1"/>
  <c r="C270" i="1"/>
  <c r="G269" i="1"/>
  <c r="F269" i="1"/>
  <c r="E269" i="1"/>
  <c r="D269" i="1"/>
  <c r="C269" i="1"/>
  <c r="G268" i="1"/>
  <c r="F268" i="1"/>
  <c r="E268" i="1"/>
  <c r="D268" i="1"/>
  <c r="C268" i="1"/>
  <c r="G267" i="1"/>
  <c r="F267" i="1"/>
  <c r="E267" i="1"/>
  <c r="D267" i="1"/>
  <c r="C267" i="1"/>
  <c r="G266" i="1"/>
  <c r="F266" i="1"/>
  <c r="E266" i="1"/>
  <c r="D266" i="1"/>
  <c r="C266" i="1"/>
  <c r="G265" i="1"/>
  <c r="F265" i="1"/>
  <c r="E265" i="1"/>
  <c r="D265" i="1"/>
  <c r="C265" i="1"/>
  <c r="G264" i="1"/>
  <c r="F264" i="1"/>
  <c r="E264" i="1"/>
  <c r="D264" i="1"/>
  <c r="C264" i="1"/>
  <c r="G263" i="1"/>
  <c r="F263" i="1"/>
  <c r="E263" i="1"/>
  <c r="D263" i="1"/>
  <c r="C263" i="1"/>
  <c r="G262" i="1"/>
  <c r="F262" i="1"/>
  <c r="E262" i="1"/>
  <c r="D262" i="1"/>
  <c r="C262" i="1"/>
  <c r="G225" i="1"/>
  <c r="F225" i="1"/>
  <c r="E225" i="1"/>
  <c r="D225" i="1"/>
  <c r="C225" i="1"/>
  <c r="G224" i="1"/>
  <c r="F224" i="1"/>
  <c r="E224" i="1"/>
  <c r="D224" i="1"/>
  <c r="C224" i="1"/>
  <c r="G223" i="1"/>
  <c r="F223" i="1"/>
  <c r="E223" i="1"/>
  <c r="D223" i="1"/>
  <c r="C223" i="1"/>
  <c r="G210" i="1"/>
  <c r="F210" i="1"/>
  <c r="E210" i="1"/>
  <c r="D210" i="1"/>
  <c r="C210" i="1"/>
  <c r="G199" i="1"/>
  <c r="F199" i="1"/>
  <c r="E199" i="1"/>
  <c r="D199" i="1"/>
  <c r="C199" i="1"/>
  <c r="G198" i="1"/>
  <c r="F198" i="1"/>
  <c r="E198" i="1"/>
  <c r="D198" i="1"/>
  <c r="C198" i="1"/>
  <c r="G209" i="1"/>
  <c r="F209" i="1"/>
  <c r="E209" i="1"/>
  <c r="D209" i="1"/>
  <c r="C209" i="1"/>
  <c r="G208" i="1"/>
  <c r="F208" i="1"/>
  <c r="E208" i="1"/>
  <c r="D208" i="1"/>
  <c r="C208" i="1"/>
  <c r="G197" i="1"/>
  <c r="F197" i="1"/>
  <c r="E197" i="1"/>
  <c r="D197" i="1"/>
  <c r="C197" i="1"/>
  <c r="G222" i="1"/>
  <c r="F222" i="1"/>
  <c r="E222" i="1"/>
  <c r="D222" i="1"/>
  <c r="C222" i="1"/>
  <c r="G221" i="1"/>
  <c r="F221" i="1"/>
  <c r="E221" i="1"/>
  <c r="D221" i="1"/>
  <c r="C221" i="1"/>
  <c r="G196" i="1"/>
  <c r="F196" i="1"/>
  <c r="E196" i="1"/>
  <c r="D196" i="1"/>
  <c r="C196" i="1"/>
  <c r="G207" i="1"/>
  <c r="F207" i="1"/>
  <c r="E207" i="1"/>
  <c r="D207" i="1"/>
  <c r="C207" i="1"/>
  <c r="G195" i="1"/>
  <c r="F195" i="1"/>
  <c r="E195" i="1"/>
  <c r="D195" i="1"/>
  <c r="C195" i="1"/>
  <c r="G206" i="1"/>
  <c r="F206" i="1"/>
  <c r="E206" i="1"/>
  <c r="D206" i="1"/>
  <c r="C206" i="1"/>
  <c r="G205" i="1"/>
  <c r="F205" i="1"/>
  <c r="E205" i="1"/>
  <c r="D205" i="1"/>
  <c r="C205" i="1"/>
  <c r="G220" i="1"/>
  <c r="F220" i="1"/>
  <c r="E220" i="1"/>
  <c r="D220" i="1"/>
  <c r="C220" i="1"/>
  <c r="G232" i="1"/>
  <c r="F232" i="1"/>
  <c r="E232" i="1"/>
  <c r="D232" i="1"/>
  <c r="C232" i="1"/>
  <c r="G231" i="1"/>
  <c r="F231" i="1"/>
  <c r="E231" i="1"/>
  <c r="D231" i="1"/>
  <c r="C231" i="1"/>
  <c r="G230" i="1"/>
  <c r="F230" i="1"/>
  <c r="E230" i="1"/>
  <c r="D230" i="1"/>
  <c r="C230" i="1"/>
  <c r="G229" i="1"/>
  <c r="F229" i="1"/>
  <c r="E229" i="1"/>
  <c r="D229" i="1"/>
  <c r="C229" i="1"/>
  <c r="G228" i="1"/>
  <c r="F228" i="1"/>
  <c r="E228" i="1"/>
  <c r="D228" i="1"/>
  <c r="C228" i="1"/>
  <c r="G227" i="1"/>
  <c r="F227" i="1"/>
  <c r="E227" i="1"/>
  <c r="D227" i="1"/>
  <c r="C227" i="1"/>
  <c r="G226" i="1"/>
  <c r="F226" i="1"/>
  <c r="E226" i="1"/>
  <c r="D226" i="1"/>
  <c r="C226" i="1"/>
  <c r="G194" i="1"/>
  <c r="F194" i="1"/>
  <c r="E194" i="1"/>
  <c r="D194" i="1"/>
  <c r="C194" i="1"/>
  <c r="G193" i="1"/>
  <c r="F193" i="1"/>
  <c r="E193" i="1"/>
  <c r="D193" i="1"/>
  <c r="C193" i="1"/>
  <c r="G192" i="1"/>
  <c r="F192" i="1"/>
  <c r="E192" i="1"/>
  <c r="D192" i="1"/>
  <c r="C192" i="1"/>
  <c r="G204" i="1"/>
  <c r="F204" i="1"/>
  <c r="E204" i="1"/>
  <c r="D204" i="1"/>
  <c r="C204" i="1"/>
  <c r="G203" i="1"/>
  <c r="F203" i="1"/>
  <c r="E203" i="1"/>
  <c r="D203" i="1"/>
  <c r="C203" i="1"/>
  <c r="G202" i="1"/>
  <c r="F202" i="1"/>
  <c r="E202" i="1"/>
  <c r="D202" i="1"/>
  <c r="C202" i="1"/>
  <c r="G191" i="1"/>
  <c r="F191" i="1"/>
  <c r="E191" i="1"/>
  <c r="D191" i="1"/>
  <c r="C191" i="1"/>
  <c r="G190" i="1"/>
  <c r="F190" i="1"/>
  <c r="E190" i="1"/>
  <c r="D190" i="1"/>
  <c r="C190" i="1"/>
  <c r="G189" i="1"/>
  <c r="F189" i="1"/>
  <c r="E189" i="1"/>
  <c r="D189" i="1"/>
  <c r="C189" i="1"/>
  <c r="G201" i="1"/>
  <c r="F201" i="1"/>
  <c r="E201" i="1"/>
  <c r="D201" i="1"/>
  <c r="C201" i="1"/>
  <c r="G200" i="1"/>
  <c r="F200" i="1"/>
  <c r="E200" i="1"/>
  <c r="D200" i="1"/>
  <c r="C200" i="1"/>
  <c r="G219" i="1"/>
  <c r="F219" i="1"/>
  <c r="E219" i="1"/>
  <c r="D219" i="1"/>
  <c r="C219" i="1"/>
  <c r="G218" i="1"/>
  <c r="F218" i="1"/>
  <c r="E218" i="1"/>
  <c r="D218" i="1"/>
  <c r="C218" i="1"/>
  <c r="G217" i="1"/>
  <c r="F217" i="1"/>
  <c r="E217" i="1"/>
  <c r="D217" i="1"/>
  <c r="C217" i="1"/>
  <c r="G216" i="1"/>
  <c r="F216" i="1"/>
  <c r="E216" i="1"/>
  <c r="D216" i="1"/>
  <c r="C216" i="1"/>
  <c r="G215" i="1"/>
  <c r="F215" i="1"/>
  <c r="E215" i="1"/>
  <c r="D215" i="1"/>
  <c r="C215" i="1"/>
  <c r="G214" i="1"/>
  <c r="F214" i="1"/>
  <c r="E214" i="1"/>
  <c r="D214" i="1"/>
  <c r="C214" i="1"/>
  <c r="G213" i="1"/>
  <c r="F213" i="1"/>
  <c r="E213" i="1"/>
  <c r="D213" i="1"/>
  <c r="C213" i="1"/>
  <c r="G212" i="1"/>
  <c r="F212" i="1"/>
  <c r="E212" i="1"/>
  <c r="D212" i="1"/>
  <c r="C212" i="1"/>
  <c r="G211" i="1"/>
  <c r="F211" i="1"/>
  <c r="E211" i="1"/>
  <c r="D211" i="1"/>
  <c r="C211" i="1"/>
  <c r="G183" i="1"/>
  <c r="F183" i="1"/>
  <c r="E183" i="1"/>
  <c r="D183" i="1"/>
  <c r="C183" i="1"/>
  <c r="G157" i="1"/>
  <c r="F157" i="1"/>
  <c r="E157" i="1"/>
  <c r="D157" i="1"/>
  <c r="C157" i="1"/>
  <c r="G156" i="1"/>
  <c r="F156" i="1"/>
  <c r="E156" i="1"/>
  <c r="D156" i="1"/>
  <c r="C156" i="1"/>
  <c r="G188" i="1"/>
  <c r="F188" i="1"/>
  <c r="E188" i="1"/>
  <c r="D188" i="1"/>
  <c r="C188" i="1"/>
  <c r="G187" i="1"/>
  <c r="F187" i="1"/>
  <c r="E187" i="1"/>
  <c r="D187" i="1"/>
  <c r="C187" i="1"/>
  <c r="G170" i="1"/>
  <c r="F170" i="1"/>
  <c r="E170" i="1"/>
  <c r="D170" i="1"/>
  <c r="C170" i="1"/>
  <c r="G182" i="1"/>
  <c r="F182" i="1"/>
  <c r="E182" i="1"/>
  <c r="D182" i="1"/>
  <c r="C182" i="1"/>
  <c r="G155" i="1"/>
  <c r="F155" i="1"/>
  <c r="E155" i="1"/>
  <c r="D155" i="1"/>
  <c r="C155" i="1"/>
  <c r="G169" i="1"/>
  <c r="F169" i="1"/>
  <c r="E169" i="1"/>
  <c r="D169" i="1"/>
  <c r="C169" i="1"/>
  <c r="G168" i="1"/>
  <c r="F168" i="1"/>
  <c r="E168" i="1"/>
  <c r="D168" i="1"/>
  <c r="C168" i="1"/>
  <c r="G154" i="1"/>
  <c r="F154" i="1"/>
  <c r="E154" i="1"/>
  <c r="D154" i="1"/>
  <c r="C154" i="1"/>
  <c r="G153" i="1"/>
  <c r="F153" i="1"/>
  <c r="E153" i="1"/>
  <c r="D153" i="1"/>
  <c r="C153" i="1"/>
  <c r="G167" i="1"/>
  <c r="F167" i="1"/>
  <c r="E167" i="1"/>
  <c r="D167" i="1"/>
  <c r="C167" i="1"/>
  <c r="G152" i="1"/>
  <c r="F152" i="1"/>
  <c r="E152" i="1"/>
  <c r="D152" i="1"/>
  <c r="C152" i="1"/>
  <c r="G166" i="1"/>
  <c r="F166" i="1"/>
  <c r="E166" i="1"/>
  <c r="D166" i="1"/>
  <c r="C166" i="1"/>
  <c r="G165" i="1"/>
  <c r="F165" i="1"/>
  <c r="E165" i="1"/>
  <c r="D165" i="1"/>
  <c r="C165" i="1"/>
  <c r="G181" i="1"/>
  <c r="F181" i="1"/>
  <c r="E181" i="1"/>
  <c r="D181" i="1"/>
  <c r="C181" i="1"/>
  <c r="G180" i="1"/>
  <c r="F180" i="1"/>
  <c r="E180" i="1"/>
  <c r="D180" i="1"/>
  <c r="C180" i="1"/>
  <c r="G179" i="1"/>
  <c r="F179" i="1"/>
  <c r="E179" i="1"/>
  <c r="D179" i="1"/>
  <c r="C179" i="1"/>
  <c r="G178" i="1"/>
  <c r="F178" i="1"/>
  <c r="E178" i="1"/>
  <c r="D178" i="1"/>
  <c r="C178" i="1"/>
  <c r="G186" i="1"/>
  <c r="F186" i="1"/>
  <c r="E186" i="1"/>
  <c r="D186" i="1"/>
  <c r="C186" i="1"/>
  <c r="G185" i="1"/>
  <c r="F185" i="1"/>
  <c r="E185" i="1"/>
  <c r="D185" i="1"/>
  <c r="C185" i="1"/>
  <c r="G184" i="1"/>
  <c r="F184" i="1"/>
  <c r="E184" i="1"/>
  <c r="D184" i="1"/>
  <c r="C184" i="1"/>
  <c r="G151" i="1"/>
  <c r="F151" i="1"/>
  <c r="E151" i="1"/>
  <c r="D151" i="1"/>
  <c r="C151" i="1"/>
  <c r="G164" i="1"/>
  <c r="F164" i="1"/>
  <c r="E164" i="1"/>
  <c r="D164" i="1"/>
  <c r="C164" i="1"/>
  <c r="G150" i="1"/>
  <c r="F150" i="1"/>
  <c r="E150" i="1"/>
  <c r="D150" i="1"/>
  <c r="C150" i="1"/>
  <c r="G163" i="1"/>
  <c r="F163" i="1"/>
  <c r="E163" i="1"/>
  <c r="D163" i="1"/>
  <c r="C163" i="1"/>
  <c r="G162" i="1"/>
  <c r="F162" i="1"/>
  <c r="E162" i="1"/>
  <c r="D162" i="1"/>
  <c r="C162" i="1"/>
  <c r="G161" i="1"/>
  <c r="F161" i="1"/>
  <c r="E161" i="1"/>
  <c r="D161" i="1"/>
  <c r="C161" i="1"/>
  <c r="G160" i="1"/>
  <c r="F160" i="1"/>
  <c r="E160" i="1"/>
  <c r="D160" i="1"/>
  <c r="C160" i="1"/>
  <c r="G159" i="1"/>
  <c r="F159" i="1"/>
  <c r="E159" i="1"/>
  <c r="D159" i="1"/>
  <c r="C159" i="1"/>
  <c r="G158" i="1"/>
  <c r="F158" i="1"/>
  <c r="E158" i="1"/>
  <c r="D158" i="1"/>
  <c r="C158" i="1"/>
  <c r="G177" i="1"/>
  <c r="F177" i="1"/>
  <c r="E177" i="1"/>
  <c r="D177" i="1"/>
  <c r="C177" i="1"/>
  <c r="G176" i="1"/>
  <c r="F176" i="1"/>
  <c r="E176" i="1"/>
  <c r="D176" i="1"/>
  <c r="C176" i="1"/>
  <c r="G175" i="1"/>
  <c r="F175" i="1"/>
  <c r="E175" i="1"/>
  <c r="D175" i="1"/>
  <c r="C175" i="1"/>
  <c r="G174" i="1"/>
  <c r="F174" i="1"/>
  <c r="E174" i="1"/>
  <c r="D174" i="1"/>
  <c r="C174" i="1"/>
  <c r="G173" i="1"/>
  <c r="F173" i="1"/>
  <c r="E173" i="1"/>
  <c r="D173" i="1"/>
  <c r="C173" i="1"/>
  <c r="G172" i="1"/>
  <c r="F172" i="1"/>
  <c r="E172" i="1"/>
  <c r="D172" i="1"/>
  <c r="C172" i="1"/>
  <c r="G171" i="1"/>
  <c r="F171" i="1"/>
  <c r="E171" i="1"/>
  <c r="D171" i="1"/>
  <c r="C171" i="1"/>
  <c r="G149" i="1"/>
  <c r="F149" i="1"/>
  <c r="E149" i="1"/>
  <c r="D149" i="1"/>
  <c r="C149" i="1"/>
  <c r="G141" i="1"/>
  <c r="F141" i="1"/>
  <c r="E141" i="1"/>
  <c r="D141" i="1"/>
  <c r="C141" i="1"/>
  <c r="G146" i="1"/>
  <c r="F146" i="1"/>
  <c r="E146" i="1"/>
  <c r="D146" i="1"/>
  <c r="C146" i="1"/>
  <c r="G132" i="1"/>
  <c r="F132" i="1"/>
  <c r="E132" i="1"/>
  <c r="D132" i="1"/>
  <c r="C132" i="1"/>
  <c r="G131" i="1"/>
  <c r="F131" i="1"/>
  <c r="E131" i="1"/>
  <c r="D131" i="1"/>
  <c r="C131" i="1"/>
  <c r="G145" i="1"/>
  <c r="F145" i="1"/>
  <c r="E145" i="1"/>
  <c r="D145" i="1"/>
  <c r="C145" i="1"/>
  <c r="G144" i="1"/>
  <c r="F144" i="1"/>
  <c r="E144" i="1"/>
  <c r="D144" i="1"/>
  <c r="C144" i="1"/>
  <c r="G148" i="1"/>
  <c r="F148" i="1"/>
  <c r="E148" i="1"/>
  <c r="D148" i="1"/>
  <c r="C148" i="1"/>
  <c r="G147" i="1"/>
  <c r="F147" i="1"/>
  <c r="E147" i="1"/>
  <c r="D147" i="1"/>
  <c r="C147" i="1"/>
  <c r="G130" i="1"/>
  <c r="F130" i="1"/>
  <c r="E130" i="1"/>
  <c r="D130" i="1"/>
  <c r="C130" i="1"/>
  <c r="G129" i="1"/>
  <c r="F129" i="1"/>
  <c r="E129" i="1"/>
  <c r="D129" i="1"/>
  <c r="C129" i="1"/>
  <c r="G128" i="1"/>
  <c r="F128" i="1"/>
  <c r="E128" i="1"/>
  <c r="D128" i="1"/>
  <c r="C128" i="1"/>
  <c r="G127" i="1"/>
  <c r="F127" i="1"/>
  <c r="E127" i="1"/>
  <c r="D127" i="1"/>
  <c r="C127" i="1"/>
  <c r="G140" i="1"/>
  <c r="F140" i="1"/>
  <c r="E140" i="1"/>
  <c r="D140" i="1"/>
  <c r="C140" i="1"/>
  <c r="G126" i="1"/>
  <c r="F126" i="1"/>
  <c r="E126" i="1"/>
  <c r="D126" i="1"/>
  <c r="C126" i="1"/>
  <c r="G139" i="1"/>
  <c r="F139" i="1"/>
  <c r="E139" i="1"/>
  <c r="D139" i="1"/>
  <c r="C139" i="1"/>
  <c r="G138" i="1"/>
  <c r="F138" i="1"/>
  <c r="E138" i="1"/>
  <c r="D138" i="1"/>
  <c r="C138" i="1"/>
  <c r="G125" i="1"/>
  <c r="F125" i="1"/>
  <c r="E125" i="1"/>
  <c r="D125" i="1"/>
  <c r="C125" i="1"/>
  <c r="G124" i="1"/>
  <c r="F124" i="1"/>
  <c r="E124" i="1"/>
  <c r="D124" i="1"/>
  <c r="C124" i="1"/>
  <c r="G123" i="1"/>
  <c r="F123" i="1"/>
  <c r="E123" i="1"/>
  <c r="D123" i="1"/>
  <c r="C123" i="1"/>
  <c r="G122" i="1"/>
  <c r="F122" i="1"/>
  <c r="E122" i="1"/>
  <c r="D122" i="1"/>
  <c r="C122" i="1"/>
  <c r="G137" i="1"/>
  <c r="F137" i="1"/>
  <c r="E137" i="1"/>
  <c r="D137" i="1"/>
  <c r="C137" i="1"/>
  <c r="G136" i="1"/>
  <c r="F136" i="1"/>
  <c r="E136" i="1"/>
  <c r="D136" i="1"/>
  <c r="C136" i="1"/>
  <c r="G135" i="1"/>
  <c r="F135" i="1"/>
  <c r="E135" i="1"/>
  <c r="D135" i="1"/>
  <c r="C135" i="1"/>
  <c r="G134" i="1"/>
  <c r="F134" i="1"/>
  <c r="E134" i="1"/>
  <c r="D134" i="1"/>
  <c r="C134" i="1"/>
  <c r="G133" i="1"/>
  <c r="F133" i="1"/>
  <c r="E133" i="1"/>
  <c r="D133" i="1"/>
  <c r="C133" i="1"/>
  <c r="G143" i="1"/>
  <c r="F143" i="1"/>
  <c r="E143" i="1"/>
  <c r="D143" i="1"/>
  <c r="C143" i="1"/>
  <c r="G142" i="1"/>
  <c r="F142" i="1"/>
  <c r="E142" i="1"/>
  <c r="D142" i="1"/>
  <c r="C142" i="1"/>
  <c r="G121" i="1"/>
  <c r="F121" i="1"/>
  <c r="E121" i="1"/>
  <c r="D121" i="1"/>
  <c r="C121" i="1"/>
  <c r="G105" i="1"/>
  <c r="F105" i="1"/>
  <c r="E105" i="1"/>
  <c r="D105" i="1"/>
  <c r="C105" i="1"/>
  <c r="G104" i="1"/>
  <c r="F104" i="1"/>
  <c r="E104" i="1"/>
  <c r="D104" i="1"/>
  <c r="C104" i="1"/>
  <c r="G114" i="1"/>
  <c r="F114" i="1"/>
  <c r="E114" i="1"/>
  <c r="D114" i="1"/>
  <c r="C114" i="1"/>
  <c r="G91" i="1"/>
  <c r="F91" i="1"/>
  <c r="E91" i="1"/>
  <c r="D91" i="1"/>
  <c r="C91" i="1"/>
  <c r="G113" i="1"/>
  <c r="F113" i="1"/>
  <c r="E113" i="1"/>
  <c r="D113" i="1"/>
  <c r="C113" i="1"/>
  <c r="G120" i="1"/>
  <c r="F120" i="1"/>
  <c r="E120" i="1"/>
  <c r="D120" i="1"/>
  <c r="C120" i="1"/>
  <c r="G92" i="1"/>
  <c r="F92" i="1"/>
  <c r="E92" i="1"/>
  <c r="D92" i="1"/>
  <c r="C92" i="1"/>
  <c r="G103" i="1"/>
  <c r="F103" i="1"/>
  <c r="E103" i="1"/>
  <c r="D103" i="1"/>
  <c r="C103" i="1"/>
  <c r="G102" i="1"/>
  <c r="F102" i="1"/>
  <c r="E102" i="1"/>
  <c r="D102" i="1"/>
  <c r="C102" i="1"/>
  <c r="G119" i="1"/>
  <c r="F119" i="1"/>
  <c r="E119" i="1"/>
  <c r="D119" i="1"/>
  <c r="C119" i="1"/>
  <c r="G101" i="1"/>
  <c r="F101" i="1"/>
  <c r="E101" i="1"/>
  <c r="D101" i="1"/>
  <c r="C101" i="1"/>
  <c r="G112" i="1"/>
  <c r="F112" i="1"/>
  <c r="E112" i="1"/>
  <c r="D112" i="1"/>
  <c r="C112" i="1"/>
  <c r="G118" i="1"/>
  <c r="F118" i="1"/>
  <c r="E118" i="1"/>
  <c r="D118" i="1"/>
  <c r="C118" i="1"/>
  <c r="G117" i="1"/>
  <c r="F117" i="1"/>
  <c r="E117" i="1"/>
  <c r="D117" i="1"/>
  <c r="C117" i="1"/>
  <c r="G116" i="1"/>
  <c r="F116" i="1"/>
  <c r="E116" i="1"/>
  <c r="D116" i="1"/>
  <c r="C116" i="1"/>
  <c r="G115" i="1"/>
  <c r="F115" i="1"/>
  <c r="E115" i="1"/>
  <c r="D115" i="1"/>
  <c r="C115" i="1"/>
  <c r="G100" i="1"/>
  <c r="F100" i="1"/>
  <c r="E100" i="1"/>
  <c r="D100" i="1"/>
  <c r="C100" i="1"/>
  <c r="G99" i="1"/>
  <c r="F99" i="1"/>
  <c r="E99" i="1"/>
  <c r="D99" i="1"/>
  <c r="C99" i="1"/>
  <c r="G98" i="1"/>
  <c r="F98" i="1"/>
  <c r="E98" i="1"/>
  <c r="D98" i="1"/>
  <c r="C98" i="1"/>
  <c r="G97" i="1"/>
  <c r="F97" i="1"/>
  <c r="E97" i="1"/>
  <c r="D97" i="1"/>
  <c r="C97" i="1"/>
  <c r="G96" i="1"/>
  <c r="F96" i="1"/>
  <c r="E96" i="1"/>
  <c r="D96" i="1"/>
  <c r="C96" i="1"/>
  <c r="G95" i="1"/>
  <c r="F95" i="1"/>
  <c r="E95" i="1"/>
  <c r="D95" i="1"/>
  <c r="C95" i="1"/>
  <c r="G94" i="1"/>
  <c r="F94" i="1"/>
  <c r="E94" i="1"/>
  <c r="D94" i="1"/>
  <c r="C94" i="1"/>
  <c r="G93" i="1"/>
  <c r="F93" i="1"/>
  <c r="E93" i="1"/>
  <c r="D93" i="1"/>
  <c r="C93" i="1"/>
  <c r="G111" i="1"/>
  <c r="F111" i="1"/>
  <c r="E111" i="1"/>
  <c r="D111" i="1"/>
  <c r="C111" i="1"/>
  <c r="G110" i="1"/>
  <c r="F110" i="1"/>
  <c r="E110" i="1"/>
  <c r="D110" i="1"/>
  <c r="C110" i="1"/>
  <c r="G109" i="1"/>
  <c r="F109" i="1"/>
  <c r="E109" i="1"/>
  <c r="D109" i="1"/>
  <c r="C109" i="1"/>
  <c r="G108" i="1"/>
  <c r="F108" i="1"/>
  <c r="E108" i="1"/>
  <c r="D108" i="1"/>
  <c r="C108" i="1"/>
  <c r="G107" i="1"/>
  <c r="F107" i="1"/>
  <c r="E107" i="1"/>
  <c r="D107" i="1"/>
  <c r="C107" i="1"/>
  <c r="G106" i="1"/>
  <c r="F106" i="1"/>
  <c r="E106" i="1"/>
  <c r="D106" i="1"/>
  <c r="C106" i="1"/>
  <c r="G76" i="1"/>
  <c r="F76" i="1"/>
  <c r="E76" i="1"/>
  <c r="D76" i="1"/>
  <c r="C76" i="1"/>
  <c r="G90" i="1"/>
  <c r="F90" i="1"/>
  <c r="E90" i="1"/>
  <c r="D90" i="1"/>
  <c r="C90" i="1"/>
  <c r="G75" i="1"/>
  <c r="F75" i="1"/>
  <c r="E75" i="1"/>
  <c r="D75" i="1"/>
  <c r="C75" i="1"/>
  <c r="G81" i="1"/>
  <c r="F81" i="1"/>
  <c r="E81" i="1"/>
  <c r="D81" i="1"/>
  <c r="C81" i="1"/>
  <c r="G84" i="1"/>
  <c r="F84" i="1"/>
  <c r="E84" i="1"/>
  <c r="D84" i="1"/>
  <c r="C84" i="1"/>
  <c r="G89" i="1"/>
  <c r="F89" i="1"/>
  <c r="E89" i="1"/>
  <c r="D89" i="1"/>
  <c r="C89" i="1"/>
  <c r="G88" i="1"/>
  <c r="F88" i="1"/>
  <c r="E88" i="1"/>
  <c r="D88" i="1"/>
  <c r="C88" i="1"/>
  <c r="G74" i="1"/>
  <c r="F74" i="1"/>
  <c r="E74" i="1"/>
  <c r="D74" i="1"/>
  <c r="C74" i="1"/>
  <c r="G87" i="1"/>
  <c r="F87" i="1"/>
  <c r="E87" i="1"/>
  <c r="D87" i="1"/>
  <c r="C87" i="1"/>
  <c r="G86" i="1"/>
  <c r="F86" i="1"/>
  <c r="E86" i="1"/>
  <c r="D86" i="1"/>
  <c r="C86" i="1"/>
  <c r="G85" i="1"/>
  <c r="F85" i="1"/>
  <c r="E85" i="1"/>
  <c r="D85" i="1"/>
  <c r="C85" i="1"/>
  <c r="G73" i="1"/>
  <c r="F73" i="1"/>
  <c r="E73" i="1"/>
  <c r="D73" i="1"/>
  <c r="C73" i="1"/>
  <c r="G80" i="1"/>
  <c r="F80" i="1"/>
  <c r="E80" i="1"/>
  <c r="D80" i="1"/>
  <c r="C80" i="1"/>
  <c r="G79" i="1"/>
  <c r="F79" i="1"/>
  <c r="E79" i="1"/>
  <c r="D79" i="1"/>
  <c r="C79" i="1"/>
  <c r="G78" i="1"/>
  <c r="F78" i="1"/>
  <c r="E78" i="1"/>
  <c r="D78" i="1"/>
  <c r="C78" i="1"/>
  <c r="G77" i="1"/>
  <c r="F77" i="1"/>
  <c r="E77" i="1"/>
  <c r="D77" i="1"/>
  <c r="C77" i="1"/>
  <c r="G83" i="1"/>
  <c r="F83" i="1"/>
  <c r="E83" i="1"/>
  <c r="D83" i="1"/>
  <c r="C83" i="1"/>
  <c r="G82" i="1"/>
  <c r="F82" i="1"/>
  <c r="E82" i="1"/>
  <c r="D82" i="1"/>
  <c r="C82" i="1"/>
  <c r="G72" i="1"/>
  <c r="F72" i="1"/>
  <c r="E72" i="1"/>
  <c r="D72" i="1"/>
  <c r="C72" i="1"/>
  <c r="G66" i="1"/>
  <c r="F66" i="1"/>
  <c r="E66" i="1"/>
  <c r="D66" i="1"/>
  <c r="C66" i="1"/>
  <c r="G65" i="1"/>
  <c r="F65" i="1"/>
  <c r="E65" i="1"/>
  <c r="D65" i="1"/>
  <c r="C65" i="1"/>
  <c r="G64" i="1"/>
  <c r="F64" i="1"/>
  <c r="E64" i="1"/>
  <c r="D64" i="1"/>
  <c r="C64" i="1"/>
  <c r="G63" i="1"/>
  <c r="F63" i="1"/>
  <c r="E63" i="1"/>
  <c r="D63" i="1"/>
  <c r="C63" i="1"/>
  <c r="G62" i="1"/>
  <c r="F62" i="1"/>
  <c r="E62" i="1"/>
  <c r="D62" i="1"/>
  <c r="C62" i="1"/>
  <c r="G61" i="1"/>
  <c r="F61" i="1"/>
  <c r="E61" i="1"/>
  <c r="D61" i="1"/>
  <c r="C61" i="1"/>
  <c r="G71" i="1"/>
  <c r="F71" i="1"/>
  <c r="E71" i="1"/>
  <c r="D71" i="1"/>
  <c r="C71" i="1"/>
  <c r="G70" i="1"/>
  <c r="F70" i="1"/>
  <c r="E70" i="1"/>
  <c r="D70" i="1"/>
  <c r="C70" i="1"/>
  <c r="G69" i="1"/>
  <c r="F69" i="1"/>
  <c r="E69" i="1"/>
  <c r="D69" i="1"/>
  <c r="C69" i="1"/>
  <c r="G68" i="1"/>
  <c r="F68" i="1"/>
  <c r="E68" i="1"/>
  <c r="D68" i="1"/>
  <c r="C68" i="1"/>
  <c r="G67" i="1"/>
  <c r="F67" i="1"/>
  <c r="E67" i="1"/>
  <c r="D67" i="1"/>
  <c r="C67" i="1"/>
  <c r="G60" i="1"/>
  <c r="F60" i="1"/>
  <c r="E60" i="1"/>
  <c r="D60" i="1"/>
  <c r="C60" i="1"/>
  <c r="G59" i="1"/>
  <c r="F59" i="1"/>
  <c r="E59" i="1"/>
  <c r="D59" i="1"/>
  <c r="C59" i="1"/>
  <c r="G58" i="1"/>
  <c r="F58" i="1"/>
  <c r="E58" i="1"/>
  <c r="D58" i="1"/>
  <c r="C58" i="1"/>
  <c r="G52" i="1"/>
  <c r="F52" i="1"/>
  <c r="E52" i="1"/>
  <c r="D52" i="1"/>
  <c r="C52" i="1"/>
  <c r="G57" i="1"/>
  <c r="F57" i="1"/>
  <c r="E57" i="1"/>
  <c r="D57" i="1"/>
  <c r="C57" i="1"/>
  <c r="G54" i="1"/>
  <c r="F54" i="1"/>
  <c r="E54" i="1"/>
  <c r="D54" i="1"/>
  <c r="C54" i="1"/>
  <c r="G56" i="1"/>
  <c r="F56" i="1"/>
  <c r="E56" i="1"/>
  <c r="D56" i="1"/>
  <c r="C56" i="1"/>
  <c r="G51" i="1"/>
  <c r="F51" i="1"/>
  <c r="E51" i="1"/>
  <c r="D51" i="1"/>
  <c r="C51" i="1"/>
  <c r="G53" i="1"/>
  <c r="F53" i="1"/>
  <c r="E53" i="1"/>
  <c r="D53" i="1"/>
  <c r="C53" i="1"/>
  <c r="G55" i="1"/>
  <c r="F55" i="1"/>
  <c r="E55" i="1"/>
  <c r="D55" i="1"/>
  <c r="C55" i="1"/>
  <c r="G48" i="1"/>
  <c r="F48" i="1"/>
  <c r="E48" i="1"/>
  <c r="D48" i="1"/>
  <c r="C48" i="1"/>
  <c r="G47" i="1"/>
  <c r="F47" i="1"/>
  <c r="E47" i="1"/>
  <c r="D47" i="1"/>
  <c r="C47" i="1"/>
  <c r="G50" i="1"/>
  <c r="F50" i="1"/>
  <c r="E50" i="1"/>
  <c r="D50" i="1"/>
  <c r="C50" i="1"/>
  <c r="G49" i="1"/>
  <c r="F49" i="1"/>
  <c r="E49" i="1"/>
  <c r="D49" i="1"/>
  <c r="C49" i="1"/>
  <c r="G46" i="1"/>
  <c r="F46" i="1"/>
  <c r="E46" i="1"/>
  <c r="D46" i="1"/>
  <c r="C46" i="1"/>
  <c r="G43" i="1"/>
  <c r="F43" i="1"/>
  <c r="E43" i="1"/>
  <c r="D43" i="1"/>
  <c r="C43" i="1"/>
  <c r="G42" i="1"/>
  <c r="F42" i="1"/>
  <c r="E42" i="1"/>
  <c r="D42" i="1"/>
  <c r="C42" i="1"/>
  <c r="G45" i="1"/>
  <c r="F45" i="1"/>
  <c r="E45" i="1"/>
  <c r="D45" i="1"/>
  <c r="C45" i="1"/>
  <c r="G44" i="1"/>
  <c r="F44" i="1"/>
  <c r="E44" i="1"/>
  <c r="D44" i="1"/>
  <c r="C44" i="1"/>
  <c r="G37" i="1"/>
  <c r="F37" i="1"/>
  <c r="E37" i="1"/>
  <c r="D37" i="1"/>
  <c r="C37" i="1"/>
  <c r="G38" i="1"/>
  <c r="F38" i="1"/>
  <c r="E38" i="1"/>
  <c r="D38" i="1"/>
  <c r="C38" i="1"/>
  <c r="G41" i="1"/>
  <c r="F41" i="1"/>
  <c r="E41" i="1"/>
  <c r="D41" i="1"/>
  <c r="C41" i="1"/>
  <c r="G40" i="1"/>
  <c r="F40" i="1"/>
  <c r="E40" i="1"/>
  <c r="D40" i="1"/>
  <c r="C40" i="1"/>
  <c r="G39" i="1"/>
  <c r="F39" i="1"/>
  <c r="E39" i="1"/>
  <c r="D39" i="1"/>
  <c r="C39" i="1"/>
  <c r="G36" i="1"/>
  <c r="F36" i="1"/>
  <c r="E36" i="1"/>
  <c r="D36" i="1"/>
  <c r="C36" i="1"/>
  <c r="G34" i="1"/>
  <c r="F34" i="1"/>
  <c r="E34" i="1"/>
  <c r="D34" i="1"/>
  <c r="C34" i="1"/>
  <c r="G35" i="1"/>
  <c r="F35" i="1"/>
  <c r="E35" i="1"/>
  <c r="D35" i="1"/>
  <c r="C35" i="1"/>
  <c r="G33" i="1"/>
  <c r="F33" i="1"/>
  <c r="E33" i="1"/>
  <c r="D33" i="1"/>
  <c r="C33" i="1"/>
  <c r="G32" i="1"/>
  <c r="F32" i="1"/>
  <c r="E32" i="1"/>
  <c r="D32" i="1"/>
  <c r="C32" i="1"/>
  <c r="G30" i="1"/>
  <c r="F30" i="1"/>
  <c r="E30" i="1"/>
  <c r="D30" i="1"/>
  <c r="C30" i="1"/>
  <c r="G31" i="1"/>
  <c r="F31" i="1"/>
  <c r="E31" i="1"/>
  <c r="D31" i="1"/>
  <c r="C31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G25" i="1"/>
  <c r="F25" i="1"/>
  <c r="E25" i="1"/>
  <c r="D25" i="1"/>
  <c r="C25" i="1"/>
  <c r="G24" i="1"/>
  <c r="F24" i="1"/>
  <c r="E24" i="1"/>
  <c r="D24" i="1"/>
  <c r="C24" i="1"/>
  <c r="G26" i="1"/>
  <c r="F26" i="1"/>
  <c r="E26" i="1"/>
  <c r="D26" i="1"/>
  <c r="C26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8" i="1"/>
  <c r="F18" i="1"/>
  <c r="E18" i="1"/>
  <c r="D18" i="1"/>
  <c r="C18" i="1"/>
  <c r="G19" i="1"/>
  <c r="F19" i="1"/>
  <c r="E19" i="1"/>
  <c r="D19" i="1"/>
  <c r="C19" i="1"/>
  <c r="G15" i="1"/>
  <c r="F15" i="1"/>
  <c r="E15" i="1"/>
  <c r="D15" i="1"/>
  <c r="C15" i="1"/>
  <c r="G17" i="1"/>
  <c r="F17" i="1"/>
  <c r="E17" i="1"/>
  <c r="D17" i="1"/>
  <c r="C17" i="1"/>
  <c r="G16" i="1"/>
  <c r="F16" i="1"/>
  <c r="E16" i="1"/>
  <c r="D16" i="1"/>
  <c r="C16" i="1"/>
  <c r="G14" i="1"/>
  <c r="F14" i="1"/>
  <c r="E14" i="1"/>
  <c r="D14" i="1"/>
  <c r="C14" i="1"/>
  <c r="G13" i="1"/>
  <c r="F13" i="1"/>
  <c r="E13" i="1"/>
  <c r="D13" i="1"/>
  <c r="C13" i="1"/>
  <c r="G11" i="1"/>
  <c r="F11" i="1"/>
  <c r="E11" i="1"/>
  <c r="D11" i="1"/>
  <c r="C11" i="1"/>
  <c r="G12" i="1"/>
  <c r="F12" i="1"/>
  <c r="E12" i="1"/>
  <c r="D12" i="1"/>
  <c r="C12" i="1"/>
  <c r="G9" i="1"/>
  <c r="F9" i="1"/>
  <c r="E9" i="1"/>
  <c r="D9" i="1"/>
  <c r="C9" i="1"/>
  <c r="G10" i="1"/>
  <c r="F10" i="1"/>
  <c r="E10" i="1"/>
  <c r="D10" i="1"/>
  <c r="C10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  <c r="G3" i="1"/>
  <c r="F3" i="1"/>
  <c r="E3" i="1"/>
  <c r="D3" i="1"/>
  <c r="C3" i="1"/>
</calcChain>
</file>

<file path=xl/sharedStrings.xml><?xml version="1.0" encoding="utf-8"?>
<sst xmlns="http://schemas.openxmlformats.org/spreadsheetml/2006/main" count="535" uniqueCount="45">
  <si>
    <t>Prodotto</t>
  </si>
  <si>
    <t>PuntoErogazione</t>
  </si>
  <si>
    <t>Area Comm.</t>
  </si>
  <si>
    <t>Regione</t>
  </si>
  <si>
    <t>Provincia</t>
  </si>
  <si>
    <t>Città</t>
  </si>
  <si>
    <t>Indirizzo</t>
  </si>
  <si>
    <t>vendite tot</t>
  </si>
  <si>
    <t>di cui twin</t>
  </si>
  <si>
    <t xml:space="preserve">prospect </t>
  </si>
  <si>
    <t>BUNDLE</t>
  </si>
  <si>
    <t>% BUNDLE SU PROSPECT</t>
  </si>
  <si>
    <t>FAMILY</t>
  </si>
  <si>
    <t>5 Maggio - 3 Giugno</t>
  </si>
  <si>
    <t>Area</t>
  </si>
  <si>
    <t>Verdi</t>
  </si>
  <si>
    <t>% Verdi</t>
  </si>
  <si>
    <t>Gialli</t>
  </si>
  <si>
    <t>% Gialli</t>
  </si>
  <si>
    <t>Rossi</t>
  </si>
  <si>
    <t>% Rossi</t>
  </si>
  <si>
    <t>Totale PV</t>
  </si>
  <si>
    <t>CENTRO</t>
  </si>
  <si>
    <t>ABRUZZO</t>
  </si>
  <si>
    <t>LAZIO</t>
  </si>
  <si>
    <t>MOLISE</t>
  </si>
  <si>
    <t>TOSCANA</t>
  </si>
  <si>
    <t>UMBRIA</t>
  </si>
  <si>
    <t>NORD EST</t>
  </si>
  <si>
    <t>EMILIA-ROMAGNA</t>
  </si>
  <si>
    <t>FRIULI VG</t>
  </si>
  <si>
    <t>MARCHE</t>
  </si>
  <si>
    <t>TRENTINO AA</t>
  </si>
  <si>
    <t>VENETO</t>
  </si>
  <si>
    <t>NORD OVEST</t>
  </si>
  <si>
    <t>LIGURIA</t>
  </si>
  <si>
    <t>LOMBARDIA</t>
  </si>
  <si>
    <t>PIEMONTE</t>
  </si>
  <si>
    <t>VALLE D'AOSTA</t>
  </si>
  <si>
    <t>SUD</t>
  </si>
  <si>
    <t>BASILICATA</t>
  </si>
  <si>
    <t>CALABRIA</t>
  </si>
  <si>
    <t>CAMPANIA</t>
  </si>
  <si>
    <t>PUGLIA</t>
  </si>
  <si>
    <t>SICILIA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</si>
</sst>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rgb="FF7030A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5" fillId="2" borderId="1" xfId="2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9" fontId="0" fillId="0" borderId="0" xfId="1" applyFont="1" applyAlignment="1">
      <alignment horizontal="center" vertical="center"/>
    </xf>
    <xf numFmtId="0" fontId="1" fillId="0" borderId="0" xfId="3"/>
    <xf numFmtId="0" fontId="1" fillId="0" borderId="0" xfId="3" applyAlignment="1">
      <alignment horizontal="center" vertical="center"/>
    </xf>
    <xf numFmtId="0" fontId="9" fillId="0" borderId="0" xfId="3" applyFont="1"/>
    <xf numFmtId="0" fontId="13" fillId="0" borderId="2" xfId="4" applyFont="1" applyFill="1" applyBorder="1" applyAlignment="1">
      <alignment horizontal="center" vertical="center"/>
    </xf>
    <xf numFmtId="164" fontId="13" fillId="0" borderId="3" xfId="4" applyNumberFormat="1" applyFont="1" applyFill="1" applyBorder="1" applyAlignment="1">
      <alignment horizontal="center" vertical="center"/>
    </xf>
    <xf numFmtId="0" fontId="13" fillId="0" borderId="2" xfId="6" applyFont="1" applyFill="1" applyBorder="1" applyAlignment="1">
      <alignment horizontal="center" vertical="center"/>
    </xf>
    <xf numFmtId="164" fontId="13" fillId="0" borderId="3" xfId="6" applyNumberFormat="1" applyFont="1" applyFill="1" applyBorder="1" applyAlignment="1">
      <alignment horizontal="center" vertical="center"/>
    </xf>
    <xf numFmtId="0" fontId="13" fillId="0" borderId="2" xfId="5" applyFont="1" applyFill="1" applyBorder="1" applyAlignment="1">
      <alignment horizontal="center" vertical="center"/>
    </xf>
    <xf numFmtId="164" fontId="13" fillId="0" borderId="3" xfId="5" applyNumberFormat="1" applyFont="1" applyFill="1" applyBorder="1" applyAlignment="1">
      <alignment horizontal="center" vertical="center"/>
    </xf>
    <xf numFmtId="0" fontId="9" fillId="0" borderId="4" xfId="3" applyFont="1" applyBorder="1"/>
    <xf numFmtId="0" fontId="10" fillId="3" borderId="5" xfId="4" applyFont="1" applyBorder="1" applyAlignment="1">
      <alignment horizontal="center" vertical="center"/>
    </xf>
    <xf numFmtId="0" fontId="10" fillId="3" borderId="6" xfId="4" applyFont="1" applyBorder="1" applyAlignment="1">
      <alignment horizontal="center" vertical="center"/>
    </xf>
    <xf numFmtId="0" fontId="11" fillId="5" borderId="5" xfId="6" applyFont="1" applyBorder="1" applyAlignment="1">
      <alignment horizontal="center" vertical="center"/>
    </xf>
    <xf numFmtId="0" fontId="11" fillId="5" borderId="6" xfId="6" applyFont="1" applyBorder="1" applyAlignment="1">
      <alignment horizontal="center" vertical="center"/>
    </xf>
    <xf numFmtId="0" fontId="12" fillId="4" borderId="5" xfId="5" applyFont="1" applyBorder="1" applyAlignment="1">
      <alignment horizontal="center" vertical="center"/>
    </xf>
    <xf numFmtId="0" fontId="12" fillId="4" borderId="6" xfId="5" applyFont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/>
    </xf>
  </cellXfs>
  <cellStyles count="7">
    <cellStyle name="Neutrale" xfId="6" builtinId="28"/>
    <cellStyle name="Normale" xfId="0" builtinId="0"/>
    <cellStyle name="Normale 2" xfId="2" xr:uid="{FBC28C09-A3A7-4684-B984-A92D71D6CEAD}"/>
    <cellStyle name="Normale 3" xfId="3" xr:uid="{495107B5-1CBF-4A87-BBAE-9FF969FEDF8A}"/>
    <cellStyle name="Percentuale" xfId="1" builtinId="5"/>
    <cellStyle name="Valore non valido" xfId="5" builtinId="27"/>
    <cellStyle name="Valore valido" xfId="4" builtinId="26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lepassonline-my.sharepoint.com/personal/lorenzo_mazzetti_telepass_com/Documents/Desktop/bundle%20eni%20W18-19.xlsx" TargetMode="External" /><Relationship Id="rId1" Type="http://schemas.openxmlformats.org/officeDocument/2006/relationships/externalLinkPath" Target="bundle%20eni%20W18-19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 PV ENI"/>
      <sheetName val="estrazione 5-17"/>
      <sheetName val="pivot 1"/>
      <sheetName val="estrazione 5-25"/>
      <sheetName val="pivot 2"/>
      <sheetName val="ANALISI BUNDLE"/>
      <sheetName val="ANALISI BUNDLE (emilia-marche)"/>
      <sheetName val="ANALISI BUNDLE (emilia-marc (2)"/>
      <sheetName val="estrazione bundle 5 mag 3 giu"/>
      <sheetName val="estraz vendite 5 mag 3 giu"/>
      <sheetName val="pivot 3"/>
      <sheetName val="ANALISI BUNDLE (2)"/>
      <sheetName val="Sintesi Regione"/>
    </sheetNames>
    <sheetDataSet>
      <sheetData sheetId="0">
        <row r="4">
          <cell r="A4" t="str">
            <v>PV ENI</v>
          </cell>
          <cell r="B4" t="str">
            <v>Area Comm.</v>
          </cell>
          <cell r="C4" t="str">
            <v>Regione</v>
          </cell>
          <cell r="D4" t="str">
            <v>Provincia</v>
          </cell>
          <cell r="E4" t="str">
            <v>Città</v>
          </cell>
          <cell r="F4" t="str">
            <v>Indirizzo</v>
          </cell>
          <cell r="G4" t="str">
            <v>Data Attivazione</v>
          </cell>
          <cell r="H4" t="str">
            <v>ATTIVO (S/N)</v>
          </cell>
        </row>
        <row r="5">
          <cell r="A5">
            <v>14728</v>
          </cell>
          <cell r="B5" t="str">
            <v>CENTRO</v>
          </cell>
          <cell r="C5" t="str">
            <v>TOSCANA</v>
          </cell>
          <cell r="D5" t="str">
            <v>PRATO</v>
          </cell>
          <cell r="E5" t="str">
            <v>PRATO</v>
          </cell>
          <cell r="F5" t="str">
            <v>VIALE NAM DINH  N 4 - LATO OVEST</v>
          </cell>
          <cell r="G5">
            <v>44175</v>
          </cell>
          <cell r="H5" t="str">
            <v>Attivo</v>
          </cell>
        </row>
        <row r="6">
          <cell r="A6">
            <v>4739</v>
          </cell>
          <cell r="B6" t="str">
            <v>CENTRO</v>
          </cell>
          <cell r="C6" t="str">
            <v>TOSCANA</v>
          </cell>
          <cell r="D6" t="str">
            <v>FIRENZE</v>
          </cell>
          <cell r="E6" t="str">
            <v>CALENZANO</v>
          </cell>
          <cell r="F6" t="str">
            <v>VIA VITTORIO EMANUELE SNC - LOC.SPAZZAVENTO</v>
          </cell>
          <cell r="G6">
            <v>44232</v>
          </cell>
          <cell r="H6" t="str">
            <v>Attivo</v>
          </cell>
        </row>
        <row r="7">
          <cell r="A7">
            <v>5332</v>
          </cell>
          <cell r="B7" t="str">
            <v>CENTRO</v>
          </cell>
          <cell r="C7" t="str">
            <v>TOSCANA</v>
          </cell>
          <cell r="D7" t="str">
            <v>PISTOIA</v>
          </cell>
          <cell r="E7" t="str">
            <v>PISTOIA</v>
          </cell>
          <cell r="F7" t="str">
            <v>R.A. FI-MARE / VIA NICCOLO' MACCHIAVELLI 287</v>
          </cell>
          <cell r="G7">
            <v>44077</v>
          </cell>
          <cell r="H7" t="str">
            <v>Attivo</v>
          </cell>
        </row>
        <row r="8">
          <cell r="A8">
            <v>8432</v>
          </cell>
          <cell r="B8" t="str">
            <v>SUD</v>
          </cell>
          <cell r="C8" t="str">
            <v>CAMPANIA</v>
          </cell>
          <cell r="D8" t="str">
            <v>CASERTA</v>
          </cell>
          <cell r="E8" t="str">
            <v>CASERTA</v>
          </cell>
          <cell r="F8" t="str">
            <v>SS 87 KM.25+340  VIALE DELLA LIBERTA, 4</v>
          </cell>
          <cell r="G8">
            <v>44578</v>
          </cell>
          <cell r="H8" t="str">
            <v>Attivo</v>
          </cell>
        </row>
        <row r="9">
          <cell r="A9">
            <v>56817</v>
          </cell>
          <cell r="B9" t="str">
            <v>NORD OVEST</v>
          </cell>
          <cell r="C9" t="str">
            <v>LOMBARDIA</v>
          </cell>
          <cell r="D9" t="str">
            <v>VARESE</v>
          </cell>
          <cell r="E9" t="str">
            <v>SARONNO</v>
          </cell>
          <cell r="F9" t="str">
            <v>VIA ROMA ANGOLO VIA IMOLA</v>
          </cell>
          <cell r="G9">
            <v>44085</v>
          </cell>
          <cell r="H9" t="str">
            <v>Attivo</v>
          </cell>
        </row>
        <row r="10">
          <cell r="A10">
            <v>13638</v>
          </cell>
          <cell r="B10" t="str">
            <v>NORD EST</v>
          </cell>
          <cell r="C10" t="str">
            <v>VENETO</v>
          </cell>
          <cell r="D10" t="str">
            <v>TREVISO</v>
          </cell>
          <cell r="E10" t="str">
            <v>VILLORBA</v>
          </cell>
          <cell r="F10" t="str">
            <v>VIA LIVIANA SCATTOLON</v>
          </cell>
          <cell r="G10">
            <v>44580</v>
          </cell>
          <cell r="H10" t="str">
            <v>Attivo</v>
          </cell>
        </row>
        <row r="11">
          <cell r="A11">
            <v>51755</v>
          </cell>
          <cell r="B11" t="str">
            <v>NORD OVEST</v>
          </cell>
          <cell r="C11" t="str">
            <v>LOMBARDIA</v>
          </cell>
          <cell r="D11" t="str">
            <v>BRESCIA</v>
          </cell>
          <cell r="E11" t="str">
            <v>BRESCIA</v>
          </cell>
          <cell r="F11" t="str">
            <v>VIA DALMAZIA 44</v>
          </cell>
          <cell r="G11">
            <v>44687</v>
          </cell>
          <cell r="H11" t="str">
            <v>Attivo</v>
          </cell>
        </row>
        <row r="12">
          <cell r="A12">
            <v>25515</v>
          </cell>
          <cell r="B12" t="str">
            <v>NORD EST</v>
          </cell>
          <cell r="C12" t="str">
            <v>EMILIA-ROMAGNA</v>
          </cell>
          <cell r="D12" t="str">
            <v>BOLOGNA</v>
          </cell>
          <cell r="E12" t="str">
            <v>BOLOGNA</v>
          </cell>
          <cell r="F12" t="str">
            <v>VIA M.E.LEPIDO 206</v>
          </cell>
          <cell r="G12">
            <v>44158</v>
          </cell>
          <cell r="H12" t="str">
            <v>Attivo</v>
          </cell>
        </row>
        <row r="13">
          <cell r="A13">
            <v>7146</v>
          </cell>
          <cell r="B13" t="str">
            <v>CENTRO</v>
          </cell>
          <cell r="C13" t="str">
            <v>LAZIO</v>
          </cell>
          <cell r="D13" t="str">
            <v>ROMA</v>
          </cell>
          <cell r="E13" t="str">
            <v>ROMA</v>
          </cell>
          <cell r="F13" t="str">
            <v>TIBURTINA 0400</v>
          </cell>
          <cell r="G13">
            <v>44707</v>
          </cell>
          <cell r="H13" t="str">
            <v>Attivo</v>
          </cell>
        </row>
        <row r="14">
          <cell r="A14">
            <v>56584</v>
          </cell>
          <cell r="B14" t="str">
            <v>SUD</v>
          </cell>
          <cell r="C14" t="str">
            <v>PUGLIA</v>
          </cell>
          <cell r="D14" t="str">
            <v>BARI</v>
          </cell>
          <cell r="E14" t="str">
            <v>POLIGNANO A MARE</v>
          </cell>
          <cell r="F14" t="str">
            <v>SS ADRIATICA KM 838+890</v>
          </cell>
          <cell r="G14">
            <v>44841</v>
          </cell>
          <cell r="H14" t="str">
            <v>Attivo</v>
          </cell>
        </row>
        <row r="15">
          <cell r="A15">
            <v>1448</v>
          </cell>
          <cell r="B15" t="str">
            <v>NORD OVEST</v>
          </cell>
          <cell r="C15" t="str">
            <v>PIEMONTE</v>
          </cell>
          <cell r="D15" t="str">
            <v>ALESSANDRIA</v>
          </cell>
          <cell r="E15" t="str">
            <v>ALESSANDRIA</v>
          </cell>
          <cell r="F15" t="str">
            <v>VIA G BRUNO 71</v>
          </cell>
          <cell r="G15">
            <v>44695</v>
          </cell>
          <cell r="H15" t="str">
            <v>Attivo</v>
          </cell>
        </row>
        <row r="16">
          <cell r="A16">
            <v>1507</v>
          </cell>
          <cell r="B16" t="str">
            <v>NORD OVEST</v>
          </cell>
          <cell r="C16" t="str">
            <v>LOMBARDIA</v>
          </cell>
          <cell r="D16" t="str">
            <v>BERGAMO</v>
          </cell>
          <cell r="E16" t="str">
            <v>BERGAMO</v>
          </cell>
          <cell r="F16" t="str">
            <v>VIA BROSETA</v>
          </cell>
          <cell r="G16">
            <v>44811</v>
          </cell>
          <cell r="H16" t="str">
            <v>Attivo</v>
          </cell>
        </row>
        <row r="17">
          <cell r="A17">
            <v>1740</v>
          </cell>
          <cell r="B17" t="str">
            <v>NORD OVEST</v>
          </cell>
          <cell r="C17" t="str">
            <v>LOMBARDIA</v>
          </cell>
          <cell r="D17" t="str">
            <v>BRESCIA</v>
          </cell>
          <cell r="E17" t="str">
            <v>OSPITALETTO</v>
          </cell>
          <cell r="F17" t="str">
            <v>S S 11 KM 224 + 521</v>
          </cell>
          <cell r="G17">
            <v>44224</v>
          </cell>
          <cell r="H17" t="str">
            <v>Attivo</v>
          </cell>
        </row>
        <row r="18">
          <cell r="A18">
            <v>1805</v>
          </cell>
          <cell r="B18" t="str">
            <v>NORD OVEST</v>
          </cell>
          <cell r="C18" t="str">
            <v>LOMBARDIA</v>
          </cell>
          <cell r="D18" t="str">
            <v>COMO</v>
          </cell>
          <cell r="E18" t="str">
            <v>APPIANO GENTILE</v>
          </cell>
          <cell r="F18" t="str">
            <v>STRADA PROV.LE N.23</v>
          </cell>
          <cell r="G18">
            <v>44167</v>
          </cell>
          <cell r="H18" t="str">
            <v>Attivo</v>
          </cell>
        </row>
        <row r="19">
          <cell r="A19">
            <v>1032</v>
          </cell>
          <cell r="B19" t="str">
            <v>NORD OVEST</v>
          </cell>
          <cell r="C19" t="str">
            <v>LIGURIA</v>
          </cell>
          <cell r="D19" t="str">
            <v>GENOVA</v>
          </cell>
          <cell r="E19" t="str">
            <v>GENOVA</v>
          </cell>
          <cell r="F19" t="str">
            <v>VIA BRIGATE PARTIGIANE, 1/R</v>
          </cell>
          <cell r="G19">
            <v>44823</v>
          </cell>
          <cell r="H19" t="str">
            <v>Attivo</v>
          </cell>
        </row>
        <row r="20">
          <cell r="A20">
            <v>2151</v>
          </cell>
          <cell r="B20" t="str">
            <v>NORD OVEST</v>
          </cell>
          <cell r="C20" t="str">
            <v>LOMBARDIA</v>
          </cell>
          <cell r="D20" t="str">
            <v>MONZA E DELLA BRIANZA</v>
          </cell>
          <cell r="E20" t="str">
            <v>AGRATE BRIANZA</v>
          </cell>
          <cell r="F20" t="str">
            <v>VIA MATTEOTTI 133</v>
          </cell>
          <cell r="G20">
            <v>44168</v>
          </cell>
          <cell r="H20" t="str">
            <v>Attivo</v>
          </cell>
        </row>
        <row r="21">
          <cell r="A21">
            <v>11740</v>
          </cell>
          <cell r="B21" t="str">
            <v>NORD OVEST</v>
          </cell>
          <cell r="C21" t="str">
            <v>LOMBARDIA</v>
          </cell>
          <cell r="D21" t="str">
            <v>BRESCIA</v>
          </cell>
          <cell r="E21" t="str">
            <v>CAPRIOLO</v>
          </cell>
          <cell r="F21" t="str">
            <v>VIA PALAZZOLO S.S.469</v>
          </cell>
          <cell r="G21">
            <v>44183</v>
          </cell>
          <cell r="H21" t="str">
            <v>Attivo</v>
          </cell>
        </row>
        <row r="22">
          <cell r="A22">
            <v>11745</v>
          </cell>
          <cell r="B22" t="str">
            <v>NORD OVEST</v>
          </cell>
          <cell r="C22" t="str">
            <v>LOMBARDIA</v>
          </cell>
          <cell r="D22" t="str">
            <v>BRESCIA</v>
          </cell>
          <cell r="E22" t="str">
            <v>BRESCIA</v>
          </cell>
          <cell r="F22" t="str">
            <v>VIA MONTELUNGO, 10  - TANG. OVEST PALAZZOLI</v>
          </cell>
          <cell r="G22">
            <v>44782</v>
          </cell>
          <cell r="H22" t="str">
            <v>Attivo</v>
          </cell>
        </row>
        <row r="23">
          <cell r="A23">
            <v>18040</v>
          </cell>
          <cell r="B23" t="str">
            <v>SUD</v>
          </cell>
          <cell r="C23" t="str">
            <v>CAMPANIA</v>
          </cell>
          <cell r="D23" t="str">
            <v>NAPOLI</v>
          </cell>
          <cell r="E23" t="str">
            <v>SOMMA VESUVIANA</v>
          </cell>
          <cell r="F23" t="str">
            <v>S MARIA DEL POZZO</v>
          </cell>
          <cell r="G23">
            <v>44888</v>
          </cell>
          <cell r="H23" t="str">
            <v>Attivo</v>
          </cell>
        </row>
        <row r="24">
          <cell r="A24">
            <v>218</v>
          </cell>
          <cell r="B24" t="str">
            <v>NORD OVEST</v>
          </cell>
          <cell r="C24" t="str">
            <v>PIEMONTE</v>
          </cell>
          <cell r="D24" t="str">
            <v>CUNEO</v>
          </cell>
          <cell r="E24" t="str">
            <v>VICOFORTE</v>
          </cell>
          <cell r="F24" t="str">
            <v>SS 28 SUD KM. 25 FRAZ.SANTUARIO</v>
          </cell>
          <cell r="G24">
            <v>44062</v>
          </cell>
          <cell r="H24" t="str">
            <v>Attivo</v>
          </cell>
        </row>
        <row r="25">
          <cell r="A25">
            <v>5245</v>
          </cell>
          <cell r="B25" t="str">
            <v>CENTRO</v>
          </cell>
          <cell r="C25" t="str">
            <v>TOSCANA</v>
          </cell>
          <cell r="D25" t="str">
            <v>PISA</v>
          </cell>
          <cell r="E25" t="str">
            <v>VECCHIANO</v>
          </cell>
          <cell r="F25" t="str">
            <v>VIA PROV.LE VECCHIANESE 38</v>
          </cell>
          <cell r="G25">
            <v>44816</v>
          </cell>
          <cell r="H25" t="str">
            <v>Attivo</v>
          </cell>
        </row>
        <row r="26">
          <cell r="A26">
            <v>6038</v>
          </cell>
          <cell r="B26" t="str">
            <v>NORD EST</v>
          </cell>
          <cell r="C26" t="str">
            <v>MARCHE</v>
          </cell>
          <cell r="D26" t="str">
            <v>PESARO E URBINO</v>
          </cell>
          <cell r="E26" t="str">
            <v>PESARO</v>
          </cell>
          <cell r="F26" t="str">
            <v>S.S.423 LOC.TORRACCIA</v>
          </cell>
          <cell r="G26">
            <v>44712</v>
          </cell>
          <cell r="H26" t="str">
            <v>Attivo</v>
          </cell>
        </row>
        <row r="27">
          <cell r="A27">
            <v>3632</v>
          </cell>
          <cell r="B27" t="str">
            <v>NORD EST</v>
          </cell>
          <cell r="C27" t="str">
            <v>VENETO</v>
          </cell>
          <cell r="D27" t="str">
            <v>TREVISO</v>
          </cell>
          <cell r="E27" t="str">
            <v>CONEGLIANO</v>
          </cell>
          <cell r="F27" t="str">
            <v>VIA VENEZIA 88</v>
          </cell>
          <cell r="G27">
            <v>44144</v>
          </cell>
          <cell r="H27" t="str">
            <v>Attivo</v>
          </cell>
        </row>
        <row r="28">
          <cell r="A28">
            <v>4845</v>
          </cell>
          <cell r="B28" t="str">
            <v>CENTRO</v>
          </cell>
          <cell r="C28" t="str">
            <v>TOSCANA</v>
          </cell>
          <cell r="D28" t="str">
            <v>FIRENZE</v>
          </cell>
          <cell r="E28" t="str">
            <v>FUCECCHIO</v>
          </cell>
          <cell r="F28" t="str">
            <v>VIALE BUOZZI 122/124</v>
          </cell>
          <cell r="G28">
            <v>44222</v>
          </cell>
          <cell r="H28" t="str">
            <v>Attivo</v>
          </cell>
        </row>
        <row r="29">
          <cell r="A29">
            <v>56391</v>
          </cell>
          <cell r="B29" t="str">
            <v>SUD</v>
          </cell>
          <cell r="C29" t="str">
            <v>SICILIA</v>
          </cell>
          <cell r="D29" t="str">
            <v>CATANIA</v>
          </cell>
          <cell r="E29" t="str">
            <v>MISTERBIANCO</v>
          </cell>
          <cell r="F29" t="str">
            <v>VIA CARLO MARX 60</v>
          </cell>
          <cell r="G29">
            <v>44623</v>
          </cell>
          <cell r="H29" t="str">
            <v>Attivo</v>
          </cell>
        </row>
        <row r="30">
          <cell r="A30">
            <v>59066</v>
          </cell>
          <cell r="B30" t="str">
            <v>NORD OVEST</v>
          </cell>
          <cell r="C30" t="str">
            <v>LOMBARDIA</v>
          </cell>
          <cell r="D30" t="str">
            <v>MILANO</v>
          </cell>
          <cell r="E30" t="str">
            <v>GARBAGNATE MILANESE</v>
          </cell>
          <cell r="F30" t="str">
            <v>SS VARESINA KM 13+770</v>
          </cell>
          <cell r="G30">
            <v>44697</v>
          </cell>
          <cell r="H30" t="str">
            <v>Attivo</v>
          </cell>
        </row>
        <row r="31">
          <cell r="A31">
            <v>8444</v>
          </cell>
          <cell r="B31" t="str">
            <v>SUD</v>
          </cell>
          <cell r="C31" t="str">
            <v>CAMPANIA</v>
          </cell>
          <cell r="D31" t="str">
            <v>CASERTA</v>
          </cell>
          <cell r="E31" t="str">
            <v>AVERSA</v>
          </cell>
          <cell r="F31" t="str">
            <v>VIALE KENNEDY ANGOLO VIA JASI</v>
          </cell>
          <cell r="G31">
            <v>44812</v>
          </cell>
          <cell r="H31" t="str">
            <v>Attivo</v>
          </cell>
        </row>
        <row r="32">
          <cell r="A32">
            <v>209</v>
          </cell>
          <cell r="B32" t="str">
            <v>NORD OVEST</v>
          </cell>
          <cell r="C32" t="str">
            <v>PIEMONTE</v>
          </cell>
          <cell r="D32" t="str">
            <v>CUNEO</v>
          </cell>
          <cell r="E32" t="str">
            <v>CUNEO</v>
          </cell>
          <cell r="F32" t="str">
            <v>VIA TORINO 135</v>
          </cell>
          <cell r="G32">
            <v>44078</v>
          </cell>
          <cell r="H32" t="str">
            <v>Attivo</v>
          </cell>
        </row>
        <row r="33">
          <cell r="A33">
            <v>1024</v>
          </cell>
          <cell r="B33" t="str">
            <v>NORD OVEST</v>
          </cell>
          <cell r="C33" t="str">
            <v>LIGURIA</v>
          </cell>
          <cell r="D33" t="str">
            <v>GENOVA</v>
          </cell>
          <cell r="E33" t="str">
            <v>GENOVA</v>
          </cell>
          <cell r="F33" t="str">
            <v>VIA CANTORE 20 A ROSSO</v>
          </cell>
          <cell r="G33">
            <v>44789</v>
          </cell>
          <cell r="H33" t="str">
            <v>Attivo</v>
          </cell>
        </row>
        <row r="34">
          <cell r="A34">
            <v>2308</v>
          </cell>
          <cell r="B34" t="str">
            <v>NORD OVEST</v>
          </cell>
          <cell r="C34" t="str">
            <v>LOMBARDIA</v>
          </cell>
          <cell r="D34" t="str">
            <v>MILANO</v>
          </cell>
          <cell r="E34" t="str">
            <v>LEGNANO</v>
          </cell>
          <cell r="F34" t="str">
            <v>VIALE L. CADORNA 60</v>
          </cell>
          <cell r="G34">
            <v>44201</v>
          </cell>
          <cell r="H34" t="str">
            <v>Attivo</v>
          </cell>
        </row>
        <row r="35">
          <cell r="A35">
            <v>5112</v>
          </cell>
          <cell r="B35" t="str">
            <v>CENTRO</v>
          </cell>
          <cell r="C35" t="str">
            <v>TOSCANA</v>
          </cell>
          <cell r="D35" t="str">
            <v>LUCCA</v>
          </cell>
          <cell r="E35" t="str">
            <v>LUCCA</v>
          </cell>
          <cell r="F35" t="str">
            <v>FRAZ-S-VITO STR-PROV</v>
          </cell>
          <cell r="G35">
            <v>44169</v>
          </cell>
          <cell r="H35" t="str">
            <v>Attivo</v>
          </cell>
        </row>
        <row r="36">
          <cell r="A36">
            <v>17131</v>
          </cell>
          <cell r="B36" t="str">
            <v>CENTRO</v>
          </cell>
          <cell r="C36" t="str">
            <v>LAZIO</v>
          </cell>
          <cell r="D36" t="str">
            <v>ROMA</v>
          </cell>
          <cell r="E36" t="str">
            <v>ROMA</v>
          </cell>
          <cell r="F36" t="str">
            <v>VIA LAURENTINA 453</v>
          </cell>
          <cell r="G36">
            <v>44067</v>
          </cell>
          <cell r="H36" t="str">
            <v>Attivo</v>
          </cell>
        </row>
        <row r="37">
          <cell r="A37">
            <v>38018</v>
          </cell>
          <cell r="B37" t="str">
            <v>SUD</v>
          </cell>
          <cell r="C37" t="str">
            <v>BASILICATA</v>
          </cell>
          <cell r="D37" t="str">
            <v>POTENZA</v>
          </cell>
          <cell r="E37" t="str">
            <v>POTENZA</v>
          </cell>
          <cell r="F37" t="str">
            <v>VIA APPIA 187</v>
          </cell>
          <cell r="G37">
            <v>44236</v>
          </cell>
          <cell r="H37" t="str">
            <v>Attivo</v>
          </cell>
        </row>
        <row r="38">
          <cell r="A38">
            <v>4203</v>
          </cell>
          <cell r="B38" t="str">
            <v>NORD EST</v>
          </cell>
          <cell r="C38" t="str">
            <v>FRIULI VENEZIA GIULIA</v>
          </cell>
          <cell r="D38" t="str">
            <v>PORDENONE</v>
          </cell>
          <cell r="E38" t="str">
            <v>PORDENONE</v>
          </cell>
          <cell r="F38" t="str">
            <v>VIALE TREVISO 38</v>
          </cell>
          <cell r="G38">
            <v>44081</v>
          </cell>
          <cell r="H38" t="str">
            <v>Attivo</v>
          </cell>
        </row>
        <row r="39">
          <cell r="A39">
            <v>5514</v>
          </cell>
          <cell r="B39" t="str">
            <v>NORD EST</v>
          </cell>
          <cell r="C39" t="str">
            <v>EMILIA-ROMAGNA</v>
          </cell>
          <cell r="D39" t="str">
            <v>BOLOGNA</v>
          </cell>
          <cell r="E39" t="str">
            <v>SAN GIOVANNI IN PERSICETO</v>
          </cell>
          <cell r="F39" t="str">
            <v>VIA BOLOGNA 13</v>
          </cell>
          <cell r="G39">
            <v>44158</v>
          </cell>
          <cell r="H39" t="str">
            <v>Attivo</v>
          </cell>
        </row>
        <row r="40">
          <cell r="A40">
            <v>8182</v>
          </cell>
          <cell r="B40" t="str">
            <v>SUD</v>
          </cell>
          <cell r="C40" t="str">
            <v>CAMPANIA</v>
          </cell>
          <cell r="D40" t="str">
            <v>NAPOLI</v>
          </cell>
          <cell r="E40" t="str">
            <v>CASTELLAMMARE DI STABIA</v>
          </cell>
          <cell r="F40" t="str">
            <v>VIALE EUROPA 87</v>
          </cell>
          <cell r="G40">
            <v>44146</v>
          </cell>
          <cell r="H40" t="str">
            <v>Attivo</v>
          </cell>
        </row>
        <row r="41">
          <cell r="A41">
            <v>8945</v>
          </cell>
          <cell r="B41" t="str">
            <v>SUD</v>
          </cell>
          <cell r="C41" t="str">
            <v>CAMPANIA</v>
          </cell>
          <cell r="D41" t="str">
            <v>SALERNO</v>
          </cell>
          <cell r="E41" t="str">
            <v>ANGRI</v>
          </cell>
          <cell r="F41" t="str">
            <v>STR PROV ACC AUTOSTR</v>
          </cell>
          <cell r="G41">
            <v>44811</v>
          </cell>
          <cell r="H41" t="str">
            <v>Attivo</v>
          </cell>
        </row>
        <row r="42">
          <cell r="A42">
            <v>13618</v>
          </cell>
          <cell r="B42" t="str">
            <v>NORD EST</v>
          </cell>
          <cell r="C42" t="str">
            <v>VENETO</v>
          </cell>
          <cell r="D42" t="str">
            <v>TREVISO</v>
          </cell>
          <cell r="E42" t="str">
            <v>MOGLIANO VENETO</v>
          </cell>
          <cell r="F42" t="str">
            <v>VIA CASALE SUL SILE 14</v>
          </cell>
          <cell r="G42">
            <v>44162</v>
          </cell>
          <cell r="H42" t="str">
            <v>Attivo</v>
          </cell>
        </row>
        <row r="43">
          <cell r="A43">
            <v>34710</v>
          </cell>
          <cell r="B43" t="str">
            <v>CENTRO</v>
          </cell>
          <cell r="C43" t="str">
            <v>TOSCANA</v>
          </cell>
          <cell r="D43" t="str">
            <v>FIRENZE</v>
          </cell>
          <cell r="E43" t="str">
            <v>FIRENZE</v>
          </cell>
          <cell r="F43" t="str">
            <v>VIA ENRICO DE NICOLA 47/A - 47/B</v>
          </cell>
          <cell r="G43">
            <v>44071</v>
          </cell>
          <cell r="H43" t="str">
            <v>Attivo</v>
          </cell>
        </row>
        <row r="44">
          <cell r="A44">
            <v>51958</v>
          </cell>
          <cell r="B44" t="str">
            <v>NORD OVEST</v>
          </cell>
          <cell r="C44" t="str">
            <v>LOMBARDIA</v>
          </cell>
          <cell r="D44" t="str">
            <v>MILANO</v>
          </cell>
          <cell r="E44" t="str">
            <v>MELEGNANO</v>
          </cell>
          <cell r="F44" t="str">
            <v>VIA EMILIA, 70</v>
          </cell>
          <cell r="G44">
            <v>44732</v>
          </cell>
          <cell r="H44" t="str">
            <v>Attivo</v>
          </cell>
        </row>
        <row r="45">
          <cell r="A45">
            <v>53815</v>
          </cell>
          <cell r="B45" t="str">
            <v>NORD EST</v>
          </cell>
          <cell r="C45" t="str">
            <v>EMILIA-ROMAGNA</v>
          </cell>
          <cell r="D45" t="str">
            <v>RIMINI</v>
          </cell>
          <cell r="E45" t="str">
            <v>RIMINI</v>
          </cell>
          <cell r="F45" t="str">
            <v>VIA CONSOLARE SAN MARINO 7</v>
          </cell>
          <cell r="G45">
            <v>44826</v>
          </cell>
          <cell r="H45" t="str">
            <v>Attivo</v>
          </cell>
        </row>
        <row r="46">
          <cell r="A46">
            <v>57273</v>
          </cell>
          <cell r="B46" t="str">
            <v>NORD OVEST</v>
          </cell>
          <cell r="C46" t="str">
            <v>LOMBARDIA</v>
          </cell>
          <cell r="D46" t="str">
            <v>BRESCIA</v>
          </cell>
          <cell r="E46" t="str">
            <v>BRESCIA</v>
          </cell>
          <cell r="F46" t="str">
            <v>VIA BORGOSATOLLO 77</v>
          </cell>
          <cell r="G46">
            <v>44680</v>
          </cell>
          <cell r="H46" t="str">
            <v>Attivo</v>
          </cell>
        </row>
        <row r="47">
          <cell r="A47">
            <v>1676</v>
          </cell>
          <cell r="B47" t="str">
            <v>NORD OVEST</v>
          </cell>
          <cell r="C47" t="str">
            <v>LOMBARDIA</v>
          </cell>
          <cell r="D47" t="str">
            <v>BRESCIA</v>
          </cell>
          <cell r="E47" t="str">
            <v>DESENZANO DEL GARDA</v>
          </cell>
          <cell r="F47" t="str">
            <v>VIA MARCONI</v>
          </cell>
          <cell r="G47">
            <v>44706</v>
          </cell>
          <cell r="H47" t="str">
            <v>Attivo</v>
          </cell>
        </row>
        <row r="48">
          <cell r="A48">
            <v>8078</v>
          </cell>
          <cell r="B48" t="str">
            <v>SUD</v>
          </cell>
          <cell r="C48" t="str">
            <v>CAMPANIA</v>
          </cell>
          <cell r="D48" t="str">
            <v>NAPOLI</v>
          </cell>
          <cell r="E48" t="str">
            <v>CASORIA</v>
          </cell>
          <cell r="F48" t="str">
            <v>VIA A.DIAZ</v>
          </cell>
          <cell r="G48">
            <v>44886</v>
          </cell>
          <cell r="H48" t="str">
            <v>Attivo</v>
          </cell>
        </row>
        <row r="49">
          <cell r="A49">
            <v>22960</v>
          </cell>
          <cell r="B49" t="str">
            <v>NORD EST</v>
          </cell>
          <cell r="C49" t="str">
            <v>EMILIA-ROMAGNA</v>
          </cell>
          <cell r="D49" t="str">
            <v>PARMA</v>
          </cell>
          <cell r="E49" t="str">
            <v>PARMA</v>
          </cell>
          <cell r="F49" t="str">
            <v>VIALE EUROPA 111A</v>
          </cell>
          <cell r="G49">
            <v>44434</v>
          </cell>
          <cell r="H49" t="str">
            <v>Attivo</v>
          </cell>
        </row>
        <row r="50">
          <cell r="A50">
            <v>26608</v>
          </cell>
          <cell r="B50" t="str">
            <v>CENTRO</v>
          </cell>
          <cell r="C50" t="str">
            <v>ABRUZZO</v>
          </cell>
          <cell r="D50" t="str">
            <v>CHIETI</v>
          </cell>
          <cell r="E50" t="str">
            <v>ORTONA</v>
          </cell>
          <cell r="F50" t="str">
            <v>CONTRADA S. LIBERATA SS 16</v>
          </cell>
          <cell r="G50">
            <v>44147</v>
          </cell>
          <cell r="H50" t="str">
            <v>Attivo</v>
          </cell>
        </row>
        <row r="51">
          <cell r="A51">
            <v>51998</v>
          </cell>
          <cell r="B51" t="str">
            <v>NORD OVEST</v>
          </cell>
          <cell r="C51" t="str">
            <v>LOMBARDIA</v>
          </cell>
          <cell r="D51" t="str">
            <v>MONZA E DELLA BRIANZA</v>
          </cell>
          <cell r="E51" t="str">
            <v>LISSONE</v>
          </cell>
          <cell r="F51" t="str">
            <v>V. MATTEOTTI ANG. COMO</v>
          </cell>
          <cell r="G51">
            <v>45033</v>
          </cell>
          <cell r="H51" t="str">
            <v>Attivo</v>
          </cell>
        </row>
        <row r="52">
          <cell r="A52">
            <v>53958</v>
          </cell>
          <cell r="B52" t="str">
            <v>NORD EST</v>
          </cell>
          <cell r="C52" t="str">
            <v>EMILIA-ROMAGNA</v>
          </cell>
          <cell r="D52" t="str">
            <v>PIACENZA</v>
          </cell>
          <cell r="E52" t="str">
            <v>PIACENZA</v>
          </cell>
          <cell r="F52" t="str">
            <v>VIA FARNESIANA 151</v>
          </cell>
          <cell r="G52">
            <v>44677</v>
          </cell>
          <cell r="H52" t="str">
            <v>Attivo</v>
          </cell>
        </row>
        <row r="53">
          <cell r="A53">
            <v>55861</v>
          </cell>
          <cell r="B53" t="str">
            <v>SUD</v>
          </cell>
          <cell r="C53" t="str">
            <v>CAMPANIA</v>
          </cell>
          <cell r="D53" t="str">
            <v>AVELLINO</v>
          </cell>
          <cell r="E53" t="str">
            <v>MERCOGLIANO</v>
          </cell>
          <cell r="F53" t="str">
            <v>VIA N.SANTANGELO SNC</v>
          </cell>
          <cell r="G53">
            <v>44700</v>
          </cell>
          <cell r="H53" t="str">
            <v>Attivo</v>
          </cell>
        </row>
        <row r="54">
          <cell r="A54">
            <v>415</v>
          </cell>
          <cell r="B54" t="str">
            <v>NORD OVEST</v>
          </cell>
          <cell r="C54" t="str">
            <v>PIEMONTE</v>
          </cell>
          <cell r="D54" t="str">
            <v>VERBANO CUSIO OSSOLA</v>
          </cell>
          <cell r="E54" t="str">
            <v>PIEDIMULERA</v>
          </cell>
          <cell r="F54" t="str">
            <v>VIA ROMA 157</v>
          </cell>
          <cell r="G54">
            <v>44035</v>
          </cell>
          <cell r="H54" t="str">
            <v>Attivo</v>
          </cell>
        </row>
        <row r="55">
          <cell r="A55">
            <v>1827</v>
          </cell>
          <cell r="B55" t="str">
            <v>NORD OVEST</v>
          </cell>
          <cell r="C55" t="str">
            <v>LOMBARDIA</v>
          </cell>
          <cell r="D55" t="str">
            <v>COMO</v>
          </cell>
          <cell r="E55" t="str">
            <v>ERBA</v>
          </cell>
          <cell r="F55" t="str">
            <v>VIA MILANO 10</v>
          </cell>
          <cell r="G55">
            <v>44273</v>
          </cell>
          <cell r="H55" t="str">
            <v>Attivo</v>
          </cell>
        </row>
        <row r="56">
          <cell r="A56">
            <v>2838</v>
          </cell>
          <cell r="B56" t="str">
            <v>NORD OVEST</v>
          </cell>
          <cell r="C56" t="str">
            <v>LOMBARDIA</v>
          </cell>
          <cell r="D56" t="str">
            <v>VARESE</v>
          </cell>
          <cell r="E56" t="str">
            <v>VARESE</v>
          </cell>
          <cell r="F56" t="str">
            <v>VIA S.VITO SILVESTRO</v>
          </cell>
          <cell r="G56">
            <v>44692</v>
          </cell>
          <cell r="H56" t="str">
            <v>Attivo</v>
          </cell>
        </row>
        <row r="57">
          <cell r="A57">
            <v>3317</v>
          </cell>
          <cell r="B57" t="str">
            <v>NORD EST</v>
          </cell>
          <cell r="C57" t="str">
            <v>VENETO</v>
          </cell>
          <cell r="D57" t="str">
            <v>PADOVA</v>
          </cell>
          <cell r="E57" t="str">
            <v>PADOVA</v>
          </cell>
          <cell r="F57" t="str">
            <v>VIA ARMISTIZIO 180</v>
          </cell>
          <cell r="G57">
            <v>44043</v>
          </cell>
          <cell r="H57" t="str">
            <v>Attivo</v>
          </cell>
        </row>
        <row r="58">
          <cell r="A58">
            <v>6249</v>
          </cell>
          <cell r="B58" t="str">
            <v>NORD EST</v>
          </cell>
          <cell r="C58" t="str">
            <v>EMILIA-ROMAGNA</v>
          </cell>
          <cell r="D58" t="str">
            <v>MODENA</v>
          </cell>
          <cell r="E58" t="str">
            <v>SASSUOLO</v>
          </cell>
          <cell r="F58" t="str">
            <v>VIA PIA</v>
          </cell>
          <cell r="G58">
            <v>44837</v>
          </cell>
          <cell r="H58" t="str">
            <v>Attivo</v>
          </cell>
        </row>
        <row r="59">
          <cell r="A59">
            <v>6334</v>
          </cell>
          <cell r="B59" t="str">
            <v>NORD EST</v>
          </cell>
          <cell r="C59" t="str">
            <v>EMILIA-ROMAGNA</v>
          </cell>
          <cell r="D59" t="str">
            <v>MODENA</v>
          </cell>
          <cell r="E59" t="str">
            <v>VIGNOLA</v>
          </cell>
          <cell r="F59" t="str">
            <v>VIA PER SPILAMBERTO 1015</v>
          </cell>
          <cell r="G59">
            <v>44162</v>
          </cell>
          <cell r="H59" t="str">
            <v>Attivo</v>
          </cell>
        </row>
        <row r="60">
          <cell r="A60">
            <v>8046</v>
          </cell>
          <cell r="B60" t="str">
            <v>SUD</v>
          </cell>
          <cell r="C60" t="str">
            <v>CAMPANIA</v>
          </cell>
          <cell r="D60" t="str">
            <v>NAPOLI</v>
          </cell>
          <cell r="E60" t="str">
            <v>NAPOLI</v>
          </cell>
          <cell r="F60" t="str">
            <v>CAIO DUILIO FUORIGRO</v>
          </cell>
          <cell r="G60">
            <v>44813</v>
          </cell>
          <cell r="H60" t="str">
            <v>Attivo</v>
          </cell>
        </row>
        <row r="61">
          <cell r="A61">
            <v>9684</v>
          </cell>
          <cell r="B61" t="str">
            <v>SUD</v>
          </cell>
          <cell r="C61" t="str">
            <v>SICILIA</v>
          </cell>
          <cell r="D61" t="str">
            <v>MESSINA</v>
          </cell>
          <cell r="E61" t="str">
            <v>BARCELLONA POZZO DI GOTTO</v>
          </cell>
          <cell r="F61" t="str">
            <v>VIA PAPA GIOVANNI XXIII N.51.</v>
          </cell>
          <cell r="G61">
            <v>44628</v>
          </cell>
          <cell r="H61" t="str">
            <v>Attivo</v>
          </cell>
        </row>
        <row r="62">
          <cell r="A62">
            <v>14290</v>
          </cell>
          <cell r="B62" t="str">
            <v>NORD EST</v>
          </cell>
          <cell r="C62" t="str">
            <v>FRIULI VENEZIA GIULIA</v>
          </cell>
          <cell r="D62" t="str">
            <v>PORDENONE</v>
          </cell>
          <cell r="E62" t="str">
            <v>PORDENONE</v>
          </cell>
          <cell r="F62" t="str">
            <v>VIALE VENEZIA 46</v>
          </cell>
          <cell r="G62">
            <v>44211</v>
          </cell>
          <cell r="H62" t="str">
            <v>Attivo</v>
          </cell>
        </row>
        <row r="63">
          <cell r="A63">
            <v>19568</v>
          </cell>
          <cell r="B63" t="str">
            <v>SUD</v>
          </cell>
          <cell r="C63" t="str">
            <v>SICILIA</v>
          </cell>
          <cell r="D63" t="str">
            <v>CATANIA</v>
          </cell>
          <cell r="E63" t="str">
            <v>MASCALUCIA</v>
          </cell>
          <cell r="F63" t="str">
            <v>VIA ALCIDE DE GASPERI</v>
          </cell>
          <cell r="G63">
            <v>44727</v>
          </cell>
          <cell r="H63" t="str">
            <v>Attivo</v>
          </cell>
        </row>
        <row r="64">
          <cell r="A64">
            <v>26869</v>
          </cell>
          <cell r="B64" t="str">
            <v>CENTRO</v>
          </cell>
          <cell r="C64" t="str">
            <v>ABRUZZO</v>
          </cell>
          <cell r="D64" t="str">
            <v>PESCARA</v>
          </cell>
          <cell r="E64" t="str">
            <v>CITTÀ SANT'ANGELO</v>
          </cell>
          <cell r="F64" t="str">
            <v>VIA XXII MAGGIO 1944</v>
          </cell>
          <cell r="G64">
            <v>44193</v>
          </cell>
          <cell r="H64" t="str">
            <v>Attivo</v>
          </cell>
        </row>
        <row r="65">
          <cell r="A65">
            <v>39211</v>
          </cell>
          <cell r="B65" t="str">
            <v>SUD</v>
          </cell>
          <cell r="C65" t="str">
            <v>SICILIA</v>
          </cell>
          <cell r="D65" t="str">
            <v>CATANIA</v>
          </cell>
          <cell r="E65" t="str">
            <v>SAN GIOVANNI LA PUNTA</v>
          </cell>
          <cell r="F65" t="str">
            <v>VIA CRISTOFORO COLOMBO, 4</v>
          </cell>
          <cell r="G65">
            <v>44727</v>
          </cell>
          <cell r="H65" t="str">
            <v>Attivo</v>
          </cell>
        </row>
        <row r="66">
          <cell r="A66">
            <v>718</v>
          </cell>
          <cell r="B66" t="str">
            <v>NORD OVEST</v>
          </cell>
          <cell r="C66" t="str">
            <v>PIEMONTE</v>
          </cell>
          <cell r="D66" t="str">
            <v>TORINO</v>
          </cell>
          <cell r="E66" t="str">
            <v>CARIGNANO</v>
          </cell>
          <cell r="F66" t="str">
            <v>SS20 KM12+230</v>
          </cell>
          <cell r="G66">
            <v>44075</v>
          </cell>
          <cell r="H66" t="str">
            <v>Attivo</v>
          </cell>
        </row>
        <row r="67">
          <cell r="A67">
            <v>5349</v>
          </cell>
          <cell r="B67" t="str">
            <v>CENTRO</v>
          </cell>
          <cell r="C67" t="str">
            <v>TOSCANA</v>
          </cell>
          <cell r="D67" t="str">
            <v>PISTOIA</v>
          </cell>
          <cell r="E67" t="str">
            <v>PISTOIA</v>
          </cell>
          <cell r="F67" t="str">
            <v>MACALLE', 26</v>
          </cell>
          <cell r="G67">
            <v>44795</v>
          </cell>
          <cell r="H67" t="str">
            <v>Attivo</v>
          </cell>
        </row>
        <row r="68">
          <cell r="A68">
            <v>5820</v>
          </cell>
          <cell r="B68" t="str">
            <v>NORD EST</v>
          </cell>
          <cell r="C68" t="str">
            <v>EMILIA-ROMAGNA</v>
          </cell>
          <cell r="D68" t="str">
            <v>FERRARA</v>
          </cell>
          <cell r="E68" t="str">
            <v>FERRARA</v>
          </cell>
          <cell r="F68" t="str">
            <v>VIA BOLOGNA 632</v>
          </cell>
          <cell r="G68">
            <v>44161</v>
          </cell>
          <cell r="H68" t="str">
            <v>Attivo</v>
          </cell>
        </row>
        <row r="69">
          <cell r="A69">
            <v>7081</v>
          </cell>
          <cell r="B69" t="str">
            <v>CENTRO</v>
          </cell>
          <cell r="C69" t="str">
            <v>LAZIO</v>
          </cell>
          <cell r="D69" t="str">
            <v>ROMA</v>
          </cell>
          <cell r="E69" t="str">
            <v>COLLEFERRO</v>
          </cell>
          <cell r="F69" t="str">
            <v>CASILINA,  0928</v>
          </cell>
          <cell r="G69">
            <v>44690</v>
          </cell>
          <cell r="H69" t="str">
            <v>Attivo</v>
          </cell>
        </row>
        <row r="70">
          <cell r="A70">
            <v>8136</v>
          </cell>
          <cell r="B70" t="str">
            <v>SUD</v>
          </cell>
          <cell r="C70" t="str">
            <v>CAMPANIA</v>
          </cell>
          <cell r="D70" t="str">
            <v>NAPOLI</v>
          </cell>
          <cell r="E70" t="str">
            <v>TORRE ANNUNZIATA</v>
          </cell>
          <cell r="F70" t="str">
            <v>CORSO UMBERTO S S 18</v>
          </cell>
          <cell r="G70">
            <v>44146</v>
          </cell>
          <cell r="H70" t="str">
            <v>Attivo</v>
          </cell>
        </row>
        <row r="71">
          <cell r="A71">
            <v>8146</v>
          </cell>
          <cell r="B71" t="str">
            <v>SUD</v>
          </cell>
          <cell r="C71" t="str">
            <v>CAMPANIA</v>
          </cell>
          <cell r="D71" t="str">
            <v>NAPOLI</v>
          </cell>
          <cell r="E71" t="str">
            <v>NAPOLI</v>
          </cell>
          <cell r="F71" t="str">
            <v>VIALE MADDALENA</v>
          </cell>
          <cell r="G71">
            <v>44811</v>
          </cell>
          <cell r="H71" t="str">
            <v>Attivo</v>
          </cell>
        </row>
        <row r="72">
          <cell r="A72">
            <v>11418</v>
          </cell>
          <cell r="B72" t="str">
            <v>NORD OVEST</v>
          </cell>
          <cell r="C72" t="str">
            <v>PIEMONTE</v>
          </cell>
          <cell r="D72" t="str">
            <v>ASTI</v>
          </cell>
          <cell r="E72" t="str">
            <v>ASTI</v>
          </cell>
          <cell r="F72" t="str">
            <v>CORSO ALESSANDRIA 494</v>
          </cell>
          <cell r="G72">
            <v>44060</v>
          </cell>
          <cell r="H72" t="str">
            <v>Attivo</v>
          </cell>
        </row>
        <row r="73">
          <cell r="A73">
            <v>28007</v>
          </cell>
          <cell r="B73" t="str">
            <v>SUD</v>
          </cell>
          <cell r="C73" t="str">
            <v>CAMPANIA</v>
          </cell>
          <cell r="D73" t="str">
            <v>NAPOLI</v>
          </cell>
          <cell r="E73" t="str">
            <v>NAPOLI</v>
          </cell>
          <cell r="F73" t="str">
            <v>VIA A FALCONE 224</v>
          </cell>
          <cell r="G73">
            <v>44854</v>
          </cell>
          <cell r="H73" t="str">
            <v>Attivo</v>
          </cell>
        </row>
        <row r="74">
          <cell r="A74">
            <v>51668</v>
          </cell>
          <cell r="B74" t="str">
            <v>NORD OVEST</v>
          </cell>
          <cell r="C74" t="str">
            <v>LOMBARDIA</v>
          </cell>
          <cell r="D74" t="str">
            <v>LODI</v>
          </cell>
          <cell r="E74" t="str">
            <v>LODI</v>
          </cell>
          <cell r="F74" t="str">
            <v>VL EUROPA</v>
          </cell>
          <cell r="G74">
            <v>44694</v>
          </cell>
          <cell r="H74" t="str">
            <v>Attivo</v>
          </cell>
        </row>
        <row r="75">
          <cell r="A75">
            <v>54340</v>
          </cell>
          <cell r="B75" t="str">
            <v>SUD</v>
          </cell>
          <cell r="C75" t="str">
            <v>CAMPANIA</v>
          </cell>
          <cell r="D75" t="str">
            <v>BENEVENTO</v>
          </cell>
          <cell r="E75" t="str">
            <v>BENEVENTO</v>
          </cell>
          <cell r="F75" t="str">
            <v>LOCALITA' CAPODIMONTE SNC.</v>
          </cell>
          <cell r="G75">
            <v>44145</v>
          </cell>
          <cell r="H75" t="str">
            <v>Attivo</v>
          </cell>
        </row>
        <row r="76">
          <cell r="A76">
            <v>55710</v>
          </cell>
          <cell r="B76" t="str">
            <v>SUD</v>
          </cell>
          <cell r="C76" t="str">
            <v>CAMPANIA</v>
          </cell>
          <cell r="D76" t="str">
            <v>NAPOLI</v>
          </cell>
          <cell r="E76" t="str">
            <v>NAPOLI</v>
          </cell>
          <cell r="F76" t="str">
            <v>AGNANO ASTRONI</v>
          </cell>
          <cell r="G76">
            <v>44811</v>
          </cell>
          <cell r="H76" t="str">
            <v>Attivo</v>
          </cell>
        </row>
        <row r="77">
          <cell r="A77">
            <v>56030</v>
          </cell>
          <cell r="B77" t="str">
            <v>NORD OVEST</v>
          </cell>
          <cell r="C77" t="str">
            <v>LOMBARDIA</v>
          </cell>
          <cell r="D77" t="str">
            <v>COMO</v>
          </cell>
          <cell r="E77" t="str">
            <v>MARIANO COMENSE</v>
          </cell>
          <cell r="F77" t="str">
            <v>V.LE BRIANZA</v>
          </cell>
          <cell r="G77">
            <v>44695</v>
          </cell>
          <cell r="H77" t="str">
            <v>Attivo</v>
          </cell>
        </row>
        <row r="78">
          <cell r="A78">
            <v>5239</v>
          </cell>
          <cell r="B78" t="str">
            <v>CENTRO</v>
          </cell>
          <cell r="C78" t="str">
            <v>TOSCANA</v>
          </cell>
          <cell r="D78" t="str">
            <v>PISA</v>
          </cell>
          <cell r="E78" t="str">
            <v>SAN MINIATO</v>
          </cell>
          <cell r="F78" t="str">
            <v>VIA PANNOCCHIA 90 - LOC. PONTE A EGOLA</v>
          </cell>
          <cell r="G78">
            <v>44182</v>
          </cell>
          <cell r="H78" t="str">
            <v>Attivo</v>
          </cell>
        </row>
        <row r="79">
          <cell r="A79">
            <v>13241</v>
          </cell>
          <cell r="B79" t="str">
            <v>NORD EST</v>
          </cell>
          <cell r="C79" t="str">
            <v>VENETO</v>
          </cell>
          <cell r="D79" t="str">
            <v>PADOVA</v>
          </cell>
          <cell r="E79" t="str">
            <v>TOMBOLO</v>
          </cell>
          <cell r="F79" t="str">
            <v>VIA SOMMAVILLA 109</v>
          </cell>
          <cell r="G79">
            <v>44158</v>
          </cell>
          <cell r="H79" t="str">
            <v>Attivo</v>
          </cell>
        </row>
        <row r="80">
          <cell r="A80">
            <v>55380</v>
          </cell>
          <cell r="B80" t="str">
            <v>CENTRO</v>
          </cell>
          <cell r="C80" t="str">
            <v>TOSCANA</v>
          </cell>
          <cell r="D80" t="str">
            <v>FIRENZE</v>
          </cell>
          <cell r="E80" t="str">
            <v>MONTELUPO FIORENTINO</v>
          </cell>
          <cell r="F80" t="str">
            <v>VIA TOSCO ROMAGNOLO SUD 36 - LOC. FIBBIANA</v>
          </cell>
          <cell r="G80">
            <v>44284</v>
          </cell>
          <cell r="H80" t="str">
            <v>Attivo</v>
          </cell>
        </row>
        <row r="81">
          <cell r="A81">
            <v>1577</v>
          </cell>
          <cell r="B81" t="str">
            <v>NORD OVEST</v>
          </cell>
          <cell r="C81" t="str">
            <v>LOMBARDIA</v>
          </cell>
          <cell r="D81" t="str">
            <v>BERGAMO</v>
          </cell>
          <cell r="E81" t="str">
            <v>ZANICA</v>
          </cell>
          <cell r="F81" t="str">
            <v>VIA PROVINCIALE</v>
          </cell>
          <cell r="G81">
            <v>44704</v>
          </cell>
          <cell r="H81" t="str">
            <v>Attivo</v>
          </cell>
        </row>
        <row r="82">
          <cell r="A82">
            <v>1638</v>
          </cell>
          <cell r="B82" t="str">
            <v>NORD OVEST</v>
          </cell>
          <cell r="C82" t="str">
            <v>LOMBARDIA</v>
          </cell>
          <cell r="D82" t="str">
            <v>BERGAMO</v>
          </cell>
          <cell r="E82" t="str">
            <v>GRUMELLO DEL MONTE</v>
          </cell>
          <cell r="F82" t="str">
            <v>VIA LEGA LOMBARDA 2</v>
          </cell>
          <cell r="G82">
            <v>44224</v>
          </cell>
          <cell r="H82" t="str">
            <v>Attivo</v>
          </cell>
        </row>
        <row r="83">
          <cell r="A83">
            <v>1837</v>
          </cell>
          <cell r="B83" t="str">
            <v>NORD OVEST</v>
          </cell>
          <cell r="C83" t="str">
            <v>LOMBARDIA</v>
          </cell>
          <cell r="D83" t="str">
            <v>LECCO</v>
          </cell>
          <cell r="E83" t="str">
            <v>LECCO</v>
          </cell>
          <cell r="F83" t="str">
            <v>CORSO MATTEOTTI CASTELLO</v>
          </cell>
          <cell r="G83">
            <v>44686</v>
          </cell>
          <cell r="H83" t="str">
            <v>Attivo</v>
          </cell>
        </row>
        <row r="84">
          <cell r="A84">
            <v>2261</v>
          </cell>
          <cell r="B84" t="str">
            <v>NORD OVEST</v>
          </cell>
          <cell r="C84" t="str">
            <v>LOMBARDIA</v>
          </cell>
          <cell r="D84" t="str">
            <v>MILANO</v>
          </cell>
          <cell r="E84" t="str">
            <v>SAN VITTORE OLONA</v>
          </cell>
          <cell r="F84" t="str">
            <v>SS33KM24+86 - SEMPIONE</v>
          </cell>
          <cell r="G84">
            <v>44035</v>
          </cell>
          <cell r="H84" t="str">
            <v>Attivo</v>
          </cell>
        </row>
        <row r="85">
          <cell r="A85">
            <v>2862</v>
          </cell>
          <cell r="B85" t="str">
            <v>NORD OVEST</v>
          </cell>
          <cell r="C85" t="str">
            <v>LOMBARDIA</v>
          </cell>
          <cell r="D85" t="str">
            <v>VARESE</v>
          </cell>
          <cell r="E85" t="str">
            <v>CASSANO MAGNAGO</v>
          </cell>
          <cell r="F85" t="str">
            <v>VIA MARIO ALBINO BONICALZA 127</v>
          </cell>
          <cell r="G85">
            <v>44168</v>
          </cell>
          <cell r="H85" t="str">
            <v>Attivo</v>
          </cell>
        </row>
        <row r="86">
          <cell r="A86">
            <v>3733</v>
          </cell>
          <cell r="B86" t="str">
            <v>NORD EST</v>
          </cell>
          <cell r="C86" t="str">
            <v>VENETO</v>
          </cell>
          <cell r="D86" t="str">
            <v>VENEZIA</v>
          </cell>
          <cell r="E86" t="str">
            <v>VENEZIA</v>
          </cell>
          <cell r="F86" t="str">
            <v>ROTATORIA ROMEA</v>
          </cell>
          <cell r="G86">
            <v>44809</v>
          </cell>
          <cell r="H86" t="str">
            <v>Attivo</v>
          </cell>
        </row>
        <row r="87">
          <cell r="A87">
            <v>3743</v>
          </cell>
          <cell r="B87" t="str">
            <v>NORD EST</v>
          </cell>
          <cell r="C87" t="str">
            <v>VENETO</v>
          </cell>
          <cell r="D87" t="str">
            <v>VENEZIA</v>
          </cell>
          <cell r="E87" t="str">
            <v>VENEZIA</v>
          </cell>
          <cell r="F87" t="str">
            <v>VIA ORLANDA 6A</v>
          </cell>
          <cell r="G87">
            <v>44522</v>
          </cell>
          <cell r="H87" t="str">
            <v>Attivo</v>
          </cell>
        </row>
        <row r="88">
          <cell r="A88">
            <v>3851</v>
          </cell>
          <cell r="B88" t="str">
            <v>NORD EST</v>
          </cell>
          <cell r="C88" t="str">
            <v>VENETO</v>
          </cell>
          <cell r="D88" t="str">
            <v>VERONA</v>
          </cell>
          <cell r="E88" t="str">
            <v>VERONA</v>
          </cell>
          <cell r="F88" t="str">
            <v>VIA G.MAMELI 160/F</v>
          </cell>
          <cell r="G88">
            <v>44851</v>
          </cell>
          <cell r="H88" t="str">
            <v>Attivo</v>
          </cell>
        </row>
        <row r="89">
          <cell r="A89">
            <v>5054</v>
          </cell>
          <cell r="B89" t="str">
            <v>CENTRO</v>
          </cell>
          <cell r="C89" t="str">
            <v>TOSCANA</v>
          </cell>
          <cell r="D89" t="str">
            <v>LIVORNO</v>
          </cell>
          <cell r="E89" t="str">
            <v>ROSIGNANO MARITTIMO</v>
          </cell>
          <cell r="F89" t="str">
            <v>VIA AURELIA, 340</v>
          </cell>
          <cell r="G89">
            <v>44816</v>
          </cell>
          <cell r="H89" t="str">
            <v>Attivo</v>
          </cell>
        </row>
        <row r="90">
          <cell r="A90">
            <v>5915</v>
          </cell>
          <cell r="B90" t="str">
            <v>NORD EST</v>
          </cell>
          <cell r="C90" t="str">
            <v>EMILIA-ROMAGNA</v>
          </cell>
          <cell r="D90" t="str">
            <v>RIMINI</v>
          </cell>
          <cell r="E90" t="str">
            <v>RIMINI</v>
          </cell>
          <cell r="F90" t="str">
            <v>VIA FLAMINIA 3</v>
          </cell>
          <cell r="G90">
            <v>44811</v>
          </cell>
          <cell r="H90" t="str">
            <v>Attivo</v>
          </cell>
        </row>
        <row r="91">
          <cell r="A91">
            <v>5993</v>
          </cell>
          <cell r="B91" t="str">
            <v>NORD EST</v>
          </cell>
          <cell r="C91" t="str">
            <v>EMILIA-ROMAGNA</v>
          </cell>
          <cell r="D91" t="str">
            <v>RIMINI</v>
          </cell>
          <cell r="E91" t="str">
            <v>SANTARCANGELO DI ROMAGNA</v>
          </cell>
          <cell r="F91" t="str">
            <v>VIA MARECCHIESE,1600 LOC.S.ERMETE</v>
          </cell>
          <cell r="G91">
            <v>46159</v>
          </cell>
          <cell r="H91" t="str">
            <v>Disattivo</v>
          </cell>
        </row>
        <row r="92">
          <cell r="A92">
            <v>7049</v>
          </cell>
          <cell r="B92" t="str">
            <v>CENTRO</v>
          </cell>
          <cell r="C92" t="str">
            <v>LAZIO</v>
          </cell>
          <cell r="D92" t="str">
            <v>ROMA</v>
          </cell>
          <cell r="E92" t="str">
            <v>FRASCATI</v>
          </cell>
          <cell r="F92" t="str">
            <v>VIA VITTORIO VENETO 34</v>
          </cell>
          <cell r="G92">
            <v>44048</v>
          </cell>
          <cell r="H92" t="str">
            <v>Attivo</v>
          </cell>
        </row>
        <row r="93">
          <cell r="A93">
            <v>7171</v>
          </cell>
          <cell r="B93" t="str">
            <v>CENTRO</v>
          </cell>
          <cell r="C93" t="str">
            <v>LAZIO</v>
          </cell>
          <cell r="D93" t="str">
            <v>ROMA</v>
          </cell>
          <cell r="E93" t="str">
            <v>CIVITAVECCHIA</v>
          </cell>
          <cell r="F93" t="str">
            <v>S.S. AURELIA KM 68+885</v>
          </cell>
          <cell r="G93">
            <v>44089</v>
          </cell>
          <cell r="H93" t="str">
            <v>Attivo</v>
          </cell>
        </row>
        <row r="94">
          <cell r="A94">
            <v>7268</v>
          </cell>
          <cell r="B94" t="str">
            <v>CENTRO</v>
          </cell>
          <cell r="C94" t="str">
            <v>MOLISE</v>
          </cell>
          <cell r="D94" t="str">
            <v>CAMPOBASSO</v>
          </cell>
          <cell r="E94" t="str">
            <v>TERMOLI</v>
          </cell>
          <cell r="F94" t="str">
            <v>VIA MARTIRI DELLA RESISTENZA, 67</v>
          </cell>
          <cell r="G94">
            <v>44825</v>
          </cell>
          <cell r="H94" t="str">
            <v>Attivo</v>
          </cell>
        </row>
        <row r="95">
          <cell r="A95">
            <v>13948</v>
          </cell>
          <cell r="B95" t="str">
            <v>NORD EST</v>
          </cell>
          <cell r="C95" t="str">
            <v>VENETO</v>
          </cell>
          <cell r="D95" t="str">
            <v>VICENZA</v>
          </cell>
          <cell r="E95" t="str">
            <v>CORNEDO VICENTINO</v>
          </cell>
          <cell r="F95" t="str">
            <v>VIA MONTE ORTIGARA 24</v>
          </cell>
          <cell r="G95">
            <v>44706</v>
          </cell>
          <cell r="H95" t="str">
            <v>Attivo</v>
          </cell>
        </row>
        <row r="96">
          <cell r="A96">
            <v>17314</v>
          </cell>
          <cell r="B96" t="str">
            <v>CENTRO</v>
          </cell>
          <cell r="C96" t="str">
            <v>ABRUZZO</v>
          </cell>
          <cell r="D96" t="str">
            <v>TERAMO</v>
          </cell>
          <cell r="E96" t="str">
            <v>CORROPOLI</v>
          </cell>
          <cell r="F96" t="str">
            <v>V.LE ADRIATICO 168 SS259 KM 1</v>
          </cell>
          <cell r="G96">
            <v>44691</v>
          </cell>
          <cell r="H96" t="str">
            <v>Attivo</v>
          </cell>
        </row>
        <row r="97">
          <cell r="A97">
            <v>18432</v>
          </cell>
          <cell r="B97" t="str">
            <v>SUD</v>
          </cell>
          <cell r="C97" t="str">
            <v>CAMPANIA</v>
          </cell>
          <cell r="D97" t="str">
            <v>CASERTA</v>
          </cell>
          <cell r="E97" t="str">
            <v>MARCIANISE</v>
          </cell>
          <cell r="F97" t="str">
            <v>VIA LEONARDO DA VINCI 14</v>
          </cell>
          <cell r="G97">
            <v>44144</v>
          </cell>
          <cell r="H97" t="str">
            <v>Attivo</v>
          </cell>
        </row>
        <row r="98">
          <cell r="A98">
            <v>19556</v>
          </cell>
          <cell r="B98" t="str">
            <v>SUD</v>
          </cell>
          <cell r="C98" t="str">
            <v>SICILIA</v>
          </cell>
          <cell r="D98" t="str">
            <v>CATANIA</v>
          </cell>
          <cell r="E98" t="str">
            <v>ACIREALE</v>
          </cell>
          <cell r="F98" t="str">
            <v>S .S.114 KM. 79+727 - VIALE DELLO JONIO  21</v>
          </cell>
          <cell r="G98">
            <v>44917</v>
          </cell>
          <cell r="H98" t="str">
            <v>Attivo</v>
          </cell>
        </row>
        <row r="99">
          <cell r="A99">
            <v>36953</v>
          </cell>
          <cell r="B99" t="str">
            <v>CENTRO</v>
          </cell>
          <cell r="C99" t="str">
            <v>LAZIO</v>
          </cell>
          <cell r="D99" t="str">
            <v>ROMA</v>
          </cell>
          <cell r="E99" t="str">
            <v>ROMA</v>
          </cell>
          <cell r="F99" t="str">
            <v>VIA ELSA DE GIORGI</v>
          </cell>
          <cell r="G99">
            <v>44837</v>
          </cell>
          <cell r="H99" t="str">
            <v>Attivo</v>
          </cell>
        </row>
        <row r="100">
          <cell r="A100">
            <v>56633</v>
          </cell>
          <cell r="B100" t="str">
            <v>NORD EST</v>
          </cell>
          <cell r="C100" t="str">
            <v>EMILIA-ROMAGNA</v>
          </cell>
          <cell r="D100" t="str">
            <v>PIACENZA</v>
          </cell>
          <cell r="E100" t="str">
            <v>CASTEL SAN GIOVANNI</v>
          </cell>
          <cell r="F100" t="str">
            <v>VIA EMILIA PIACENTINA</v>
          </cell>
          <cell r="G100">
            <v>44790</v>
          </cell>
          <cell r="H100" t="str">
            <v>Attivo</v>
          </cell>
        </row>
        <row r="101">
          <cell r="A101">
            <v>59243</v>
          </cell>
          <cell r="B101" t="str">
            <v>NORD EST</v>
          </cell>
          <cell r="C101" t="str">
            <v>MARCHE</v>
          </cell>
          <cell r="D101" t="str">
            <v>ANCONA</v>
          </cell>
          <cell r="E101" t="str">
            <v>JESI</v>
          </cell>
          <cell r="F101" t="str">
            <v>VIA ANCONA 68</v>
          </cell>
          <cell r="G101">
            <v>44146</v>
          </cell>
          <cell r="H101" t="str">
            <v>Attivo</v>
          </cell>
        </row>
        <row r="102">
          <cell r="A102">
            <v>521</v>
          </cell>
          <cell r="B102" t="str">
            <v>NORD OVEST</v>
          </cell>
          <cell r="C102" t="str">
            <v>PIEMONTE</v>
          </cell>
          <cell r="D102" t="str">
            <v>TORINO</v>
          </cell>
          <cell r="E102" t="str">
            <v>CHIVASSO</v>
          </cell>
          <cell r="F102" t="str">
            <v>SS 26 KM 1</v>
          </cell>
          <cell r="G102">
            <v>44438</v>
          </cell>
          <cell r="H102" t="str">
            <v>Attivo</v>
          </cell>
        </row>
        <row r="103">
          <cell r="A103">
            <v>1351</v>
          </cell>
          <cell r="B103" t="str">
            <v>NORD OVEST</v>
          </cell>
          <cell r="C103" t="str">
            <v>LIGURIA</v>
          </cell>
          <cell r="D103" t="str">
            <v>SAVONA</v>
          </cell>
          <cell r="E103" t="str">
            <v>SAVONA</v>
          </cell>
          <cell r="F103" t="str">
            <v>STALINGRADO</v>
          </cell>
          <cell r="G103">
            <v>44704</v>
          </cell>
          <cell r="H103" t="str">
            <v>Attivo</v>
          </cell>
        </row>
        <row r="104">
          <cell r="A104">
            <v>2275</v>
          </cell>
          <cell r="B104" t="str">
            <v>NORD OVEST</v>
          </cell>
          <cell r="C104" t="str">
            <v>LOMBARDIA</v>
          </cell>
          <cell r="D104" t="str">
            <v>LODI</v>
          </cell>
          <cell r="E104" t="str">
            <v>SANT'ANGELO LODIGIANO</v>
          </cell>
          <cell r="F104" t="str">
            <v>TRIESTE ANG.GARIBALDI</v>
          </cell>
          <cell r="G104">
            <v>44687</v>
          </cell>
          <cell r="H104" t="str">
            <v>Attivo</v>
          </cell>
        </row>
        <row r="105">
          <cell r="A105">
            <v>2848</v>
          </cell>
          <cell r="B105" t="str">
            <v>NORD OVEST</v>
          </cell>
          <cell r="C105" t="str">
            <v>LOMBARDIA</v>
          </cell>
          <cell r="D105" t="str">
            <v>VARESE</v>
          </cell>
          <cell r="E105" t="str">
            <v>CROSIO DELLA VALLE</v>
          </cell>
          <cell r="F105" t="str">
            <v>VIA RISORGIMENTO 12</v>
          </cell>
          <cell r="G105">
            <v>44181</v>
          </cell>
          <cell r="H105" t="str">
            <v>Attivo</v>
          </cell>
        </row>
        <row r="106">
          <cell r="A106">
            <v>3355</v>
          </cell>
          <cell r="B106" t="str">
            <v>NORD EST</v>
          </cell>
          <cell r="C106" t="str">
            <v>VENETO</v>
          </cell>
          <cell r="D106" t="str">
            <v>ROVIGO</v>
          </cell>
          <cell r="E106" t="str">
            <v>ROVIGO</v>
          </cell>
          <cell r="F106" t="str">
            <v>VIALE PORTA PO 66/B</v>
          </cell>
          <cell r="G106">
            <v>44678</v>
          </cell>
          <cell r="H106" t="str">
            <v>Attivo</v>
          </cell>
        </row>
        <row r="107">
          <cell r="A107">
            <v>5291</v>
          </cell>
          <cell r="B107" t="str">
            <v>CENTRO</v>
          </cell>
          <cell r="C107" t="str">
            <v>TOSCANA</v>
          </cell>
          <cell r="D107" t="str">
            <v>PISA</v>
          </cell>
          <cell r="E107" t="str">
            <v>PISA</v>
          </cell>
          <cell r="F107" t="str">
            <v>VIA CISANELLO 170</v>
          </cell>
          <cell r="G107">
            <v>44182</v>
          </cell>
          <cell r="H107" t="str">
            <v>Attivo</v>
          </cell>
        </row>
        <row r="108">
          <cell r="A108">
            <v>6661</v>
          </cell>
          <cell r="B108" t="str">
            <v>CENTRO</v>
          </cell>
          <cell r="C108" t="str">
            <v>LAZIO</v>
          </cell>
          <cell r="D108" t="str">
            <v>FROSINONE</v>
          </cell>
          <cell r="E108" t="str">
            <v>FROSINONE</v>
          </cell>
          <cell r="F108" t="str">
            <v>VIA MARCO TULLIO CICERONE  33/35</v>
          </cell>
          <cell r="G108">
            <v>44032</v>
          </cell>
          <cell r="H108" t="str">
            <v>Attivo</v>
          </cell>
        </row>
        <row r="109">
          <cell r="A109">
            <v>7364</v>
          </cell>
          <cell r="B109" t="str">
            <v>CENTRO</v>
          </cell>
          <cell r="C109" t="str">
            <v>ABRUZZO</v>
          </cell>
          <cell r="D109" t="str">
            <v>TERAMO</v>
          </cell>
          <cell r="E109" t="str">
            <v>ROSETO DEGLI ABRUZZI</v>
          </cell>
          <cell r="F109" t="str">
            <v>VIA NAZIONALE SUD 617</v>
          </cell>
          <cell r="G109">
            <v>44146</v>
          </cell>
          <cell r="H109" t="str">
            <v>Attivo</v>
          </cell>
        </row>
        <row r="110">
          <cell r="A110">
            <v>9285</v>
          </cell>
          <cell r="B110" t="str">
            <v>-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>
            <v>46163</v>
          </cell>
          <cell r="H110" t="str">
            <v>-</v>
          </cell>
        </row>
        <row r="111">
          <cell r="A111">
            <v>9651</v>
          </cell>
          <cell r="B111" t="str">
            <v>SUD</v>
          </cell>
          <cell r="C111" t="str">
            <v>SICILIA</v>
          </cell>
          <cell r="D111" t="str">
            <v>MESSINA</v>
          </cell>
          <cell r="E111" t="str">
            <v>VILLAFRANCA TIRRENA</v>
          </cell>
          <cell r="F111" t="str">
            <v>VILLAFRANCA TIRRENA SNC</v>
          </cell>
          <cell r="G111">
            <v>44152</v>
          </cell>
          <cell r="H111" t="str">
            <v>Attivo</v>
          </cell>
        </row>
        <row r="112">
          <cell r="A112">
            <v>11719</v>
          </cell>
          <cell r="B112" t="str">
            <v>NORD OVEST</v>
          </cell>
          <cell r="C112" t="str">
            <v>LOMBARDIA</v>
          </cell>
          <cell r="D112" t="str">
            <v>BRESCIA</v>
          </cell>
          <cell r="E112" t="str">
            <v>MONTICHIARI</v>
          </cell>
          <cell r="F112" t="str">
            <v>S.S. 668 - VIA GHEDI</v>
          </cell>
          <cell r="G112">
            <v>44812</v>
          </cell>
          <cell r="H112" t="str">
            <v>Attivo</v>
          </cell>
        </row>
        <row r="113">
          <cell r="A113">
            <v>16968</v>
          </cell>
          <cell r="B113" t="str">
            <v>CENTRO</v>
          </cell>
          <cell r="C113" t="str">
            <v>LAZIO</v>
          </cell>
          <cell r="D113" t="str">
            <v>ROMA</v>
          </cell>
          <cell r="E113" t="str">
            <v>FIUMICINO</v>
          </cell>
          <cell r="F113" t="str">
            <v>VIA PORTUENSE 2468</v>
          </cell>
          <cell r="G113">
            <v>44060</v>
          </cell>
          <cell r="H113" t="str">
            <v>Attivo</v>
          </cell>
        </row>
        <row r="114">
          <cell r="A114">
            <v>19653</v>
          </cell>
          <cell r="B114" t="str">
            <v>SUD</v>
          </cell>
          <cell r="C114" t="str">
            <v>SICILIA</v>
          </cell>
          <cell r="D114" t="str">
            <v>MESSINA</v>
          </cell>
          <cell r="E114" t="str">
            <v>MILAZZO</v>
          </cell>
          <cell r="F114" t="str">
            <v>VIALE A. GRAMSCI 156/158</v>
          </cell>
          <cell r="G114">
            <v>44152</v>
          </cell>
          <cell r="H114" t="str">
            <v>Attivo</v>
          </cell>
        </row>
        <row r="115">
          <cell r="A115">
            <v>53274</v>
          </cell>
          <cell r="B115" t="str">
            <v>SUD</v>
          </cell>
          <cell r="C115" t="str">
            <v>CAMPANIA</v>
          </cell>
          <cell r="D115" t="str">
            <v>SALERNO</v>
          </cell>
          <cell r="E115" t="str">
            <v>SALERNO</v>
          </cell>
          <cell r="F115" t="str">
            <v>VIA MEDAGLIE D'ORO</v>
          </cell>
          <cell r="G115">
            <v>44816</v>
          </cell>
          <cell r="H115" t="str">
            <v>Attivo</v>
          </cell>
        </row>
        <row r="116">
          <cell r="A116">
            <v>54668</v>
          </cell>
          <cell r="B116" t="str">
            <v>SUD</v>
          </cell>
          <cell r="C116" t="str">
            <v>CAMPANIA</v>
          </cell>
          <cell r="D116" t="str">
            <v>NAPOLI</v>
          </cell>
          <cell r="E116" t="str">
            <v>SAN GIORGIO A CREMANO</v>
          </cell>
          <cell r="F116" t="str">
            <v>VIA GIANTURCO</v>
          </cell>
          <cell r="G116">
            <v>44725</v>
          </cell>
          <cell r="H116" t="str">
            <v>Attivo</v>
          </cell>
        </row>
        <row r="117">
          <cell r="A117">
            <v>56298</v>
          </cell>
          <cell r="B117" t="str">
            <v>SUD</v>
          </cell>
          <cell r="C117" t="str">
            <v>PUGLIA</v>
          </cell>
          <cell r="D117" t="str">
            <v>TARANTO</v>
          </cell>
          <cell r="E117" t="str">
            <v>TARANTO</v>
          </cell>
          <cell r="F117" t="str">
            <v>VL MAGNA GRECIA, 114</v>
          </cell>
          <cell r="G117">
            <v>46165</v>
          </cell>
          <cell r="H117" t="str">
            <v>Attivo</v>
          </cell>
        </row>
        <row r="118">
          <cell r="A118">
            <v>56322</v>
          </cell>
          <cell r="B118" t="str">
            <v>CENTRO</v>
          </cell>
          <cell r="C118" t="str">
            <v>LAZIO</v>
          </cell>
          <cell r="D118" t="str">
            <v>ROMA</v>
          </cell>
          <cell r="E118" t="str">
            <v>ROMA</v>
          </cell>
          <cell r="F118" t="str">
            <v>VIA AURELIA 711</v>
          </cell>
          <cell r="G118">
            <v>44048</v>
          </cell>
          <cell r="H118" t="str">
            <v>Attivo</v>
          </cell>
        </row>
        <row r="119">
          <cell r="A119">
            <v>57911</v>
          </cell>
          <cell r="B119" t="str">
            <v>NORD EST</v>
          </cell>
          <cell r="C119" t="str">
            <v>VENETO</v>
          </cell>
          <cell r="D119" t="str">
            <v>PADOVA</v>
          </cell>
          <cell r="E119" t="str">
            <v>PIOVE DI SACCO</v>
          </cell>
          <cell r="F119" t="str">
            <v>ALESSIO VALERIO 54</v>
          </cell>
          <cell r="G119">
            <v>44880</v>
          </cell>
          <cell r="H119" t="str">
            <v>Attivo</v>
          </cell>
        </row>
        <row r="120">
          <cell r="A120">
            <v>58414</v>
          </cell>
          <cell r="B120" t="str">
            <v>NORD EST</v>
          </cell>
          <cell r="C120" t="str">
            <v>EMILIA-ROMAGNA</v>
          </cell>
          <cell r="D120" t="str">
            <v>REGGIO EMILIA</v>
          </cell>
          <cell r="E120" t="str">
            <v>REGGIO NELL'EMILIA</v>
          </cell>
          <cell r="F120" t="str">
            <v>VIA GRAMSCI, 9</v>
          </cell>
          <cell r="G120">
            <v>44827</v>
          </cell>
          <cell r="H120" t="str">
            <v>Attivo</v>
          </cell>
        </row>
        <row r="121">
          <cell r="A121">
            <v>120</v>
          </cell>
          <cell r="B121" t="str">
            <v>NORD OVEST</v>
          </cell>
          <cell r="C121" t="str">
            <v>PIEMONTE</v>
          </cell>
          <cell r="D121" t="str">
            <v>BIELLA</v>
          </cell>
          <cell r="E121" t="str">
            <v>COSSATO</v>
          </cell>
          <cell r="F121" t="str">
            <v>VIA GIUSEPPE  MAZZINI SNC</v>
          </cell>
          <cell r="G121">
            <v>44222</v>
          </cell>
          <cell r="H121" t="str">
            <v>Attivo</v>
          </cell>
        </row>
        <row r="122">
          <cell r="A122">
            <v>407</v>
          </cell>
          <cell r="B122" t="str">
            <v>NORD OVEST</v>
          </cell>
          <cell r="C122" t="str">
            <v>PIEMONTE</v>
          </cell>
          <cell r="D122" t="str">
            <v>VERBANO CUSIO OSSOLA</v>
          </cell>
          <cell r="E122" t="str">
            <v>OMEGNA</v>
          </cell>
          <cell r="F122" t="str">
            <v>VIA IV NOVEMBRE</v>
          </cell>
          <cell r="G122">
            <v>44837</v>
          </cell>
          <cell r="H122" t="str">
            <v>Attivo</v>
          </cell>
        </row>
        <row r="123">
          <cell r="A123">
            <v>728</v>
          </cell>
          <cell r="B123" t="str">
            <v>NORD OVEST</v>
          </cell>
          <cell r="C123" t="str">
            <v>PIEMONTE</v>
          </cell>
          <cell r="D123" t="str">
            <v>TORINO</v>
          </cell>
          <cell r="E123" t="str">
            <v>POIRINO</v>
          </cell>
          <cell r="F123" t="str">
            <v>S.S.29  BIVIO DI PESSIONE S.N.</v>
          </cell>
          <cell r="G123">
            <v>45987</v>
          </cell>
          <cell r="H123" t="str">
            <v>Attivo</v>
          </cell>
        </row>
        <row r="124">
          <cell r="A124">
            <v>1640</v>
          </cell>
          <cell r="B124" t="str">
            <v>NORD OVEST</v>
          </cell>
          <cell r="C124" t="str">
            <v>LOMBARDIA</v>
          </cell>
          <cell r="D124" t="str">
            <v>BERGAMO</v>
          </cell>
          <cell r="E124" t="str">
            <v>SERIATE</v>
          </cell>
          <cell r="F124" t="str">
            <v>VIA STELLA ALPINA</v>
          </cell>
          <cell r="G124">
            <v>44811</v>
          </cell>
          <cell r="H124" t="str">
            <v>Attivo</v>
          </cell>
        </row>
        <row r="125">
          <cell r="A125">
            <v>1724</v>
          </cell>
          <cell r="B125" t="str">
            <v>NORD OVEST</v>
          </cell>
          <cell r="C125" t="str">
            <v>LOMBARDIA</v>
          </cell>
          <cell r="D125" t="str">
            <v>BRESCIA</v>
          </cell>
          <cell r="E125" t="str">
            <v>ORZIVECCHI</v>
          </cell>
          <cell r="F125" t="str">
            <v>VIA PICCINELLI 78</v>
          </cell>
          <cell r="G125">
            <v>44846</v>
          </cell>
          <cell r="H125" t="str">
            <v>Attivo</v>
          </cell>
        </row>
        <row r="126">
          <cell r="A126">
            <v>2824</v>
          </cell>
          <cell r="B126" t="str">
            <v>NORD OVEST</v>
          </cell>
          <cell r="C126" t="str">
            <v>LOMBARDIA</v>
          </cell>
          <cell r="D126" t="str">
            <v>VARESE</v>
          </cell>
          <cell r="E126" t="str">
            <v>MALNATE</v>
          </cell>
          <cell r="F126" t="str">
            <v>VIA KENNEDY ANG. VIA PROVINCIALE SNC</v>
          </cell>
          <cell r="G126">
            <v>44210</v>
          </cell>
          <cell r="H126" t="str">
            <v>Attivo</v>
          </cell>
        </row>
        <row r="127">
          <cell r="A127">
            <v>4634</v>
          </cell>
          <cell r="B127" t="str">
            <v>CENTRO</v>
          </cell>
          <cell r="C127" t="str">
            <v>TOSCANA</v>
          </cell>
          <cell r="D127" t="str">
            <v>AREZZO</v>
          </cell>
          <cell r="E127" t="str">
            <v>SAN GIOVANNI VALDARNO</v>
          </cell>
          <cell r="F127" t="str">
            <v>VIA UBALDINO PERUZZI</v>
          </cell>
          <cell r="G127">
            <v>44690</v>
          </cell>
          <cell r="H127" t="str">
            <v>Attivo</v>
          </cell>
        </row>
        <row r="128">
          <cell r="A128">
            <v>7219</v>
          </cell>
          <cell r="B128" t="str">
            <v>CENTRO</v>
          </cell>
          <cell r="C128" t="str">
            <v>LAZIO</v>
          </cell>
          <cell r="D128" t="str">
            <v>ROMA</v>
          </cell>
          <cell r="E128" t="str">
            <v>GUIDONIA MONTECELIO</v>
          </cell>
          <cell r="F128" t="str">
            <v>VIA TIBURTINA KM 19,800 0145</v>
          </cell>
          <cell r="G128">
            <v>44692</v>
          </cell>
          <cell r="H128" t="str">
            <v>Attivo</v>
          </cell>
        </row>
        <row r="129">
          <cell r="A129">
            <v>8164</v>
          </cell>
          <cell r="B129" t="str">
            <v>SUD</v>
          </cell>
          <cell r="C129" t="str">
            <v>CAMPANIA</v>
          </cell>
          <cell r="D129" t="str">
            <v>NAPOLI</v>
          </cell>
          <cell r="E129" t="str">
            <v>POMIGLIANO D'ARCO</v>
          </cell>
          <cell r="F129" t="str">
            <v>VIA NAZIONALE DELLE PUGLIE</v>
          </cell>
          <cell r="G129">
            <v>44811</v>
          </cell>
          <cell r="H129" t="str">
            <v>Attivo</v>
          </cell>
        </row>
        <row r="130">
          <cell r="A130">
            <v>14735</v>
          </cell>
          <cell r="B130" t="str">
            <v>CENTRO</v>
          </cell>
          <cell r="C130" t="str">
            <v>TOSCANA</v>
          </cell>
          <cell r="D130" t="str">
            <v>FIRENZE</v>
          </cell>
          <cell r="E130" t="str">
            <v>BORGO SAN LORENZO</v>
          </cell>
          <cell r="F130" t="str">
            <v>VIA DELLA RESISTENZA</v>
          </cell>
          <cell r="G130">
            <v>44811</v>
          </cell>
          <cell r="H130" t="str">
            <v>Attivo</v>
          </cell>
        </row>
        <row r="131">
          <cell r="A131">
            <v>17111</v>
          </cell>
          <cell r="B131" t="str">
            <v>CENTRO</v>
          </cell>
          <cell r="C131" t="str">
            <v>LAZIO</v>
          </cell>
          <cell r="D131" t="str">
            <v>ROMA</v>
          </cell>
          <cell r="E131" t="str">
            <v>ROMA</v>
          </cell>
          <cell r="F131" t="str">
            <v>SS SALARIA KM 14, 895 EST</v>
          </cell>
          <cell r="G131">
            <v>44819</v>
          </cell>
          <cell r="H131" t="str">
            <v>Attivo</v>
          </cell>
        </row>
        <row r="132">
          <cell r="A132">
            <v>27364</v>
          </cell>
          <cell r="B132" t="str">
            <v>CENTRO</v>
          </cell>
          <cell r="C132" t="str">
            <v>ABRUZZO</v>
          </cell>
          <cell r="D132" t="str">
            <v>TERAMO</v>
          </cell>
          <cell r="E132" t="str">
            <v>MOSCIANO SANT'ANGELO</v>
          </cell>
          <cell r="F132" t="str">
            <v>S.S. 80 KM. 93 + 490</v>
          </cell>
          <cell r="G132">
            <v>44355</v>
          </cell>
          <cell r="H132" t="str">
            <v>Attivo</v>
          </cell>
        </row>
        <row r="133">
          <cell r="A133">
            <v>36959</v>
          </cell>
          <cell r="B133" t="str">
            <v>CENTRO</v>
          </cell>
          <cell r="C133" t="str">
            <v>LAZIO</v>
          </cell>
          <cell r="D133" t="str">
            <v>ROMA</v>
          </cell>
          <cell r="E133" t="str">
            <v>ROMA</v>
          </cell>
          <cell r="F133" t="str">
            <v>VIA DI TOR VERGATA</v>
          </cell>
          <cell r="G133">
            <v>44936</v>
          </cell>
          <cell r="H133" t="str">
            <v>Attivo</v>
          </cell>
        </row>
        <row r="134">
          <cell r="A134">
            <v>36993</v>
          </cell>
          <cell r="B134" t="str">
            <v>CENTRO</v>
          </cell>
          <cell r="C134" t="str">
            <v>LAZIO</v>
          </cell>
          <cell r="D134" t="str">
            <v>ROMA</v>
          </cell>
          <cell r="E134" t="str">
            <v>ROMA</v>
          </cell>
          <cell r="F134" t="str">
            <v>VIA DI ACILIA</v>
          </cell>
          <cell r="G134">
            <v>44777</v>
          </cell>
          <cell r="H134" t="str">
            <v>Attivo</v>
          </cell>
        </row>
        <row r="135">
          <cell r="A135">
            <v>51037</v>
          </cell>
          <cell r="B135" t="str">
            <v>NORD OVEST</v>
          </cell>
          <cell r="C135" t="str">
            <v>PIEMONTE</v>
          </cell>
          <cell r="D135" t="str">
            <v>ALESSANDRIA</v>
          </cell>
          <cell r="E135" t="str">
            <v>ACQUI TERME</v>
          </cell>
          <cell r="F135" t="str">
            <v>VIA NIZZA 152</v>
          </cell>
          <cell r="G135">
            <v>44589</v>
          </cell>
          <cell r="H135" t="str">
            <v>Attivo</v>
          </cell>
        </row>
        <row r="136">
          <cell r="A136">
            <v>51684</v>
          </cell>
          <cell r="B136" t="str">
            <v>-</v>
          </cell>
          <cell r="C136" t="str">
            <v>-</v>
          </cell>
          <cell r="D136" t="str">
            <v>-</v>
          </cell>
          <cell r="E136" t="str">
            <v>-</v>
          </cell>
          <cell r="F136" t="str">
            <v>-</v>
          </cell>
          <cell r="G136">
            <v>46154</v>
          </cell>
          <cell r="H136" t="str">
            <v>-</v>
          </cell>
        </row>
        <row r="137">
          <cell r="A137">
            <v>55313</v>
          </cell>
          <cell r="B137" t="str">
            <v>NORD OVEST</v>
          </cell>
          <cell r="C137" t="str">
            <v>LOMBARDIA</v>
          </cell>
          <cell r="D137" t="str">
            <v>VARESE</v>
          </cell>
          <cell r="E137" t="str">
            <v>ORIGGIO</v>
          </cell>
          <cell r="F137" t="str">
            <v>SS 233 KM 20+110</v>
          </cell>
          <cell r="G137">
            <v>44692</v>
          </cell>
          <cell r="H137" t="str">
            <v>Attivo</v>
          </cell>
        </row>
        <row r="138">
          <cell r="A138">
            <v>55420</v>
          </cell>
          <cell r="B138" t="str">
            <v>NORD EST</v>
          </cell>
          <cell r="C138" t="str">
            <v>EMILIA-ROMAGNA</v>
          </cell>
          <cell r="D138" t="str">
            <v>BOLOGNA</v>
          </cell>
          <cell r="E138" t="str">
            <v>BOLOGNA</v>
          </cell>
          <cell r="F138" t="str">
            <v>VIA SHAKESPEARE SNC</v>
          </cell>
          <cell r="G138">
            <v>44581</v>
          </cell>
          <cell r="H138" t="str">
            <v>Attivo</v>
          </cell>
        </row>
        <row r="139">
          <cell r="A139">
            <v>59047</v>
          </cell>
          <cell r="B139" t="str">
            <v>NORD OVEST</v>
          </cell>
          <cell r="C139" t="str">
            <v>LOMBARDIA</v>
          </cell>
          <cell r="D139" t="str">
            <v>COMO</v>
          </cell>
          <cell r="E139" t="str">
            <v>COMO</v>
          </cell>
          <cell r="F139" t="str">
            <v>VIA CECILIO 1</v>
          </cell>
          <cell r="G139">
            <v>45111</v>
          </cell>
          <cell r="H139" t="str">
            <v>Attivo</v>
          </cell>
        </row>
        <row r="140">
          <cell r="A140">
            <v>116</v>
          </cell>
          <cell r="B140" t="str">
            <v>NORD OVEST</v>
          </cell>
          <cell r="C140" t="str">
            <v>PIEMONTE</v>
          </cell>
          <cell r="D140" t="str">
            <v>VERCELLI</v>
          </cell>
          <cell r="E140" t="str">
            <v>VARALLO</v>
          </cell>
          <cell r="F140" t="str">
            <v>VIA M. T. ROSSI  17/3</v>
          </cell>
          <cell r="G140">
            <v>45986</v>
          </cell>
          <cell r="H140" t="str">
            <v>Attivo</v>
          </cell>
        </row>
        <row r="141">
          <cell r="A141">
            <v>1956</v>
          </cell>
          <cell r="B141" t="str">
            <v>NORD OVEST</v>
          </cell>
          <cell r="C141" t="str">
            <v>LOMBARDIA</v>
          </cell>
          <cell r="D141" t="str">
            <v>CREMONA</v>
          </cell>
          <cell r="E141" t="str">
            <v>CREMA</v>
          </cell>
          <cell r="F141" t="str">
            <v>VIA PIACENZA, 50</v>
          </cell>
          <cell r="G141">
            <v>44944</v>
          </cell>
          <cell r="H141" t="str">
            <v>Attivo</v>
          </cell>
        </row>
        <row r="142">
          <cell r="A142">
            <v>1968</v>
          </cell>
          <cell r="B142" t="str">
            <v>NORD OVEST</v>
          </cell>
          <cell r="C142" t="str">
            <v>LOMBARDIA</v>
          </cell>
          <cell r="D142" t="str">
            <v>CREMONA</v>
          </cell>
          <cell r="E142" t="str">
            <v>CREMONA</v>
          </cell>
          <cell r="F142" t="str">
            <v>MANTOVA SS 10</v>
          </cell>
          <cell r="G142">
            <v>44707</v>
          </cell>
          <cell r="H142" t="str">
            <v>Attivo</v>
          </cell>
        </row>
        <row r="143">
          <cell r="A143">
            <v>2316</v>
          </cell>
          <cell r="B143" t="str">
            <v>NORD OVEST</v>
          </cell>
          <cell r="C143" t="str">
            <v>LOMBARDIA</v>
          </cell>
          <cell r="D143" t="str">
            <v>MILANO</v>
          </cell>
          <cell r="E143" t="str">
            <v>COLOGNO MONZESE</v>
          </cell>
          <cell r="F143" t="str">
            <v>VIALE EUROPA/LIGURIA</v>
          </cell>
          <cell r="G143">
            <v>44625</v>
          </cell>
          <cell r="H143" t="str">
            <v>Attivo</v>
          </cell>
        </row>
        <row r="144">
          <cell r="A144">
            <v>2556</v>
          </cell>
          <cell r="B144" t="str">
            <v>NORD OVEST</v>
          </cell>
          <cell r="C144" t="str">
            <v>LOMBARDIA</v>
          </cell>
          <cell r="D144" t="str">
            <v>PAVIA</v>
          </cell>
          <cell r="E144" t="str">
            <v>BRONI</v>
          </cell>
          <cell r="F144" t="str">
            <v>SS 10 KM 154+108</v>
          </cell>
          <cell r="G144">
            <v>44837</v>
          </cell>
          <cell r="H144" t="str">
            <v>Attivo</v>
          </cell>
        </row>
        <row r="145">
          <cell r="A145">
            <v>3906</v>
          </cell>
          <cell r="B145" t="str">
            <v>NORD EST</v>
          </cell>
          <cell r="C145" t="str">
            <v>VENETO</v>
          </cell>
          <cell r="D145" t="str">
            <v>VICENZA</v>
          </cell>
          <cell r="E145" t="str">
            <v>ARZIGNANO</v>
          </cell>
          <cell r="F145" t="str">
            <v>VIA CHIAMPO 19</v>
          </cell>
          <cell r="G145">
            <v>45820</v>
          </cell>
          <cell r="H145" t="str">
            <v>Attivo</v>
          </cell>
        </row>
        <row r="146">
          <cell r="A146">
            <v>3992</v>
          </cell>
          <cell r="B146" t="str">
            <v>NORD EST</v>
          </cell>
          <cell r="C146" t="str">
            <v>VENETO</v>
          </cell>
          <cell r="D146" t="str">
            <v>VICENZA</v>
          </cell>
          <cell r="E146" t="str">
            <v>SCHIO</v>
          </cell>
          <cell r="F146" t="str">
            <v>VIA P.MARASCHIN 50</v>
          </cell>
          <cell r="G146">
            <v>44782</v>
          </cell>
          <cell r="H146" t="str">
            <v>Attivo</v>
          </cell>
        </row>
        <row r="147">
          <cell r="A147">
            <v>6446</v>
          </cell>
          <cell r="B147" t="str">
            <v>NORD EST</v>
          </cell>
          <cell r="C147" t="str">
            <v>EMILIA-ROMAGNA</v>
          </cell>
          <cell r="D147" t="str">
            <v>REGGIO EMILIA</v>
          </cell>
          <cell r="E147" t="str">
            <v>REGGIO NELL'EMILIA</v>
          </cell>
          <cell r="F147" t="str">
            <v>VIA GORIZIA, 25</v>
          </cell>
          <cell r="G147">
            <v>45489</v>
          </cell>
          <cell r="H147" t="str">
            <v>Attivo</v>
          </cell>
        </row>
        <row r="148">
          <cell r="A148">
            <v>6791</v>
          </cell>
          <cell r="B148" t="str">
            <v>NORD EST</v>
          </cell>
          <cell r="C148" t="str">
            <v>MARCHE</v>
          </cell>
          <cell r="D148" t="str">
            <v>MACERATA</v>
          </cell>
          <cell r="E148" t="str">
            <v>MACERATA</v>
          </cell>
          <cell r="F148" t="str">
            <v>VIA ROMA</v>
          </cell>
          <cell r="G148">
            <v>45112</v>
          </cell>
          <cell r="H148" t="str">
            <v>Attivo</v>
          </cell>
        </row>
        <row r="149">
          <cell r="A149">
            <v>7270</v>
          </cell>
          <cell r="B149" t="str">
            <v>CENTRO</v>
          </cell>
          <cell r="C149" t="str">
            <v>MOLISE</v>
          </cell>
          <cell r="D149" t="str">
            <v>CAMPOBASSO</v>
          </cell>
          <cell r="E149" t="str">
            <v>CAMPOBASSO</v>
          </cell>
          <cell r="F149" t="str">
            <v>IV NOVEMBRE</v>
          </cell>
          <cell r="G149">
            <v>44861</v>
          </cell>
          <cell r="H149" t="str">
            <v>Attivo</v>
          </cell>
        </row>
        <row r="150">
          <cell r="A150">
            <v>7473</v>
          </cell>
          <cell r="B150" t="str">
            <v>CENTRO</v>
          </cell>
          <cell r="C150" t="str">
            <v>LAZIO</v>
          </cell>
          <cell r="D150" t="str">
            <v>VITERBO</v>
          </cell>
          <cell r="E150" t="str">
            <v>MONTEFIASCONE</v>
          </cell>
          <cell r="F150" t="str">
            <v>SS 2 CASSIA KM 97+800</v>
          </cell>
          <cell r="G150">
            <v>45574</v>
          </cell>
          <cell r="H150" t="str">
            <v>Attivo</v>
          </cell>
        </row>
        <row r="151">
          <cell r="A151">
            <v>8194</v>
          </cell>
          <cell r="B151" t="str">
            <v>SUD</v>
          </cell>
          <cell r="C151" t="str">
            <v>CAMPANIA</v>
          </cell>
          <cell r="D151" t="str">
            <v>NAPOLI</v>
          </cell>
          <cell r="E151" t="str">
            <v>POMPEI</v>
          </cell>
          <cell r="F151" t="str">
            <v>VIA PLINIO </v>
          </cell>
          <cell r="G151">
            <v>45317</v>
          </cell>
          <cell r="H151" t="str">
            <v>Attivo</v>
          </cell>
        </row>
        <row r="152">
          <cell r="A152">
            <v>9627</v>
          </cell>
          <cell r="B152" t="str">
            <v>SUD</v>
          </cell>
          <cell r="C152" t="str">
            <v>SICILIA</v>
          </cell>
          <cell r="D152" t="str">
            <v>CATANIA</v>
          </cell>
          <cell r="E152" t="str">
            <v>CATANIA</v>
          </cell>
          <cell r="F152" t="str">
            <v>VIALE KENNEDY</v>
          </cell>
          <cell r="G152">
            <v>45111</v>
          </cell>
          <cell r="H152" t="str">
            <v>Attivo</v>
          </cell>
        </row>
        <row r="153">
          <cell r="A153">
            <v>12160</v>
          </cell>
          <cell r="B153" t="str">
            <v>NORD OVEST</v>
          </cell>
          <cell r="C153" t="str">
            <v>LOMBARDIA</v>
          </cell>
          <cell r="D153" t="str">
            <v>MILANO</v>
          </cell>
          <cell r="E153" t="str">
            <v>PESCHIERA BORROMEO</v>
          </cell>
          <cell r="F153" t="str">
            <v>VIA DI VITTORIO, 14</v>
          </cell>
          <cell r="G153">
            <v>44819</v>
          </cell>
          <cell r="H153" t="str">
            <v>Attivo</v>
          </cell>
        </row>
        <row r="154">
          <cell r="A154">
            <v>16720</v>
          </cell>
          <cell r="B154" t="str">
            <v>CENTRO</v>
          </cell>
          <cell r="C154" t="str">
            <v>LAZIO</v>
          </cell>
          <cell r="D154" t="str">
            <v>LATINA</v>
          </cell>
          <cell r="E154" t="str">
            <v>APRILIA</v>
          </cell>
          <cell r="F154" t="str">
            <v>SS NETTUNENSE KM 21</v>
          </cell>
          <cell r="G154">
            <v>44260</v>
          </cell>
          <cell r="H154" t="str">
            <v>Attivo</v>
          </cell>
        </row>
        <row r="155">
          <cell r="A155">
            <v>25554</v>
          </cell>
          <cell r="B155" t="str">
            <v>NORD EST</v>
          </cell>
          <cell r="C155" t="str">
            <v>EMILIA-ROMAGNA</v>
          </cell>
          <cell r="D155" t="str">
            <v>BOLOGNA</v>
          </cell>
          <cell r="E155" t="str">
            <v>BOLOGNA</v>
          </cell>
          <cell r="F155" t="str">
            <v>VIA NUOVA BAZZANESE 8</v>
          </cell>
          <cell r="G155">
            <v>44694</v>
          </cell>
          <cell r="H155" t="str">
            <v>Attivo</v>
          </cell>
        </row>
        <row r="156">
          <cell r="A156">
            <v>29688</v>
          </cell>
          <cell r="B156" t="str">
            <v>SUD</v>
          </cell>
          <cell r="C156" t="str">
            <v>SICILIA</v>
          </cell>
          <cell r="D156" t="str">
            <v>MESSINA</v>
          </cell>
          <cell r="E156" t="str">
            <v>PATTI</v>
          </cell>
          <cell r="F156" t="str">
            <v>VIA PAPA GIOVANNI XIII  SN</v>
          </cell>
          <cell r="G156">
            <v>45821</v>
          </cell>
          <cell r="H156" t="str">
            <v>Attivo</v>
          </cell>
        </row>
        <row r="157">
          <cell r="A157">
            <v>39403</v>
          </cell>
          <cell r="B157" t="str">
            <v>SUD</v>
          </cell>
          <cell r="C157" t="str">
            <v>SICILIA</v>
          </cell>
          <cell r="D157" t="str">
            <v>MESSINA</v>
          </cell>
          <cell r="E157" t="str">
            <v>MESSINA</v>
          </cell>
          <cell r="F157" t="str">
            <v>VIALE GIOSTRA ANGOLO VIA ABETONE SNC</v>
          </cell>
          <cell r="G157">
            <v>44152</v>
          </cell>
          <cell r="H157" t="str">
            <v>Attivo</v>
          </cell>
        </row>
        <row r="158">
          <cell r="A158">
            <v>39512</v>
          </cell>
          <cell r="B158" t="str">
            <v>SUD</v>
          </cell>
          <cell r="C158" t="str">
            <v>SICILIA</v>
          </cell>
          <cell r="D158" t="str">
            <v>PALERMO</v>
          </cell>
          <cell r="E158" t="str">
            <v>PALERMO</v>
          </cell>
          <cell r="F158" t="str">
            <v>VIA ERNESTO  BASILE 15/17</v>
          </cell>
          <cell r="G158">
            <v>44217</v>
          </cell>
          <cell r="H158" t="str">
            <v>Attivo</v>
          </cell>
        </row>
        <row r="159">
          <cell r="A159">
            <v>51840</v>
          </cell>
          <cell r="B159" t="str">
            <v>CENTRO</v>
          </cell>
          <cell r="C159" t="str">
            <v>TOSCANA</v>
          </cell>
          <cell r="D159" t="str">
            <v>FIRENZE</v>
          </cell>
          <cell r="E159" t="str">
            <v>BAGNO A RIPOLI</v>
          </cell>
          <cell r="F159" t="str">
            <v>SS 222 KM 2+340 PONTE A EMA</v>
          </cell>
          <cell r="G159">
            <v>44813</v>
          </cell>
          <cell r="H159" t="str">
            <v>Attivo</v>
          </cell>
        </row>
        <row r="160">
          <cell r="A160">
            <v>52510</v>
          </cell>
          <cell r="B160" t="str">
            <v>NORD OVEST</v>
          </cell>
          <cell r="C160" t="str">
            <v>LOMBARDIA</v>
          </cell>
          <cell r="D160" t="str">
            <v>MANTOVA</v>
          </cell>
          <cell r="E160" t="str">
            <v>PORTO MANTOVANO</v>
          </cell>
          <cell r="F160" t="str">
            <v>SR CISA 4 S. ANTONIO</v>
          </cell>
          <cell r="G160">
            <v>44450</v>
          </cell>
          <cell r="H160" t="str">
            <v>Attivo</v>
          </cell>
        </row>
        <row r="161">
          <cell r="A161">
            <v>55539</v>
          </cell>
          <cell r="B161" t="str">
            <v>NORD OVEST</v>
          </cell>
          <cell r="C161" t="str">
            <v>LOMBARDIA</v>
          </cell>
          <cell r="D161" t="str">
            <v>MILANO</v>
          </cell>
          <cell r="E161" t="str">
            <v>MESERO</v>
          </cell>
          <cell r="F161" t="str">
            <v>SP 31 KM 12+45</v>
          </cell>
          <cell r="G161">
            <v>44111</v>
          </cell>
          <cell r="H161" t="str">
            <v>Attivo</v>
          </cell>
        </row>
        <row r="162">
          <cell r="A162">
            <v>56062</v>
          </cell>
          <cell r="B162" t="str">
            <v>NORD EST</v>
          </cell>
          <cell r="C162" t="str">
            <v>FRIULI VENEZIA GIULIA</v>
          </cell>
          <cell r="D162" t="str">
            <v>UDINE</v>
          </cell>
          <cell r="E162" t="str">
            <v>UDINE</v>
          </cell>
          <cell r="F162" t="str">
            <v>VIALE TRICESIMO 93</v>
          </cell>
          <cell r="G162">
            <v>44810</v>
          </cell>
          <cell r="H162" t="str">
            <v>Attivo</v>
          </cell>
        </row>
        <row r="163">
          <cell r="A163">
            <v>56778</v>
          </cell>
          <cell r="B163" t="str">
            <v>NORD EST</v>
          </cell>
          <cell r="C163" t="str">
            <v>EMILIA-ROMAGNA</v>
          </cell>
          <cell r="D163" t="str">
            <v>REGGIO EMILIA</v>
          </cell>
          <cell r="E163" t="str">
            <v>MONTECCHIO EMILIA</v>
          </cell>
          <cell r="F163" t="str">
            <v>S.P PER REGGIO EMILIA 34</v>
          </cell>
          <cell r="G163">
            <v>44161</v>
          </cell>
          <cell r="H163" t="str">
            <v>Attivo</v>
          </cell>
        </row>
        <row r="164">
          <cell r="A164">
            <v>57149</v>
          </cell>
          <cell r="B164" t="str">
            <v>CENTRO</v>
          </cell>
          <cell r="C164" t="str">
            <v>LAZIO</v>
          </cell>
          <cell r="D164" t="str">
            <v>ROMA</v>
          </cell>
          <cell r="E164" t="str">
            <v>SAN CESAREO</v>
          </cell>
          <cell r="F164" t="str">
            <v>VIA CASILINA KM. 24+950</v>
          </cell>
          <cell r="G164">
            <v>44705</v>
          </cell>
          <cell r="H164" t="str">
            <v>Attivo</v>
          </cell>
        </row>
        <row r="165">
          <cell r="A165">
            <v>57560</v>
          </cell>
          <cell r="B165" t="str">
            <v>NORD OVEST</v>
          </cell>
          <cell r="C165" t="str">
            <v>LOMBARDIA</v>
          </cell>
          <cell r="D165" t="str">
            <v>MILANO</v>
          </cell>
          <cell r="E165" t="str">
            <v>CORNAREDO</v>
          </cell>
          <cell r="F165" t="str">
            <v>VIA GARIBALDI</v>
          </cell>
          <cell r="G165">
            <v>44838</v>
          </cell>
          <cell r="H165" t="str">
            <v>Attivo</v>
          </cell>
        </row>
        <row r="166">
          <cell r="A166">
            <v>1043</v>
          </cell>
          <cell r="B166" t="str">
            <v>NORD OVEST</v>
          </cell>
          <cell r="C166" t="str">
            <v>LIGURIA</v>
          </cell>
          <cell r="D166" t="str">
            <v>GENOVA</v>
          </cell>
          <cell r="E166" t="str">
            <v>GENOVA</v>
          </cell>
          <cell r="F166" t="str">
            <v>VIA RIGHETTI 1 R</v>
          </cell>
          <cell r="G166">
            <v>44863</v>
          </cell>
          <cell r="H166" t="str">
            <v>Attivo</v>
          </cell>
        </row>
        <row r="167">
          <cell r="A167">
            <v>1142</v>
          </cell>
          <cell r="B167" t="str">
            <v>NORD OVEST</v>
          </cell>
          <cell r="C167" t="str">
            <v>LIGURIA</v>
          </cell>
          <cell r="D167" t="str">
            <v>GENOVA</v>
          </cell>
          <cell r="E167" t="str">
            <v>SESTRI LEVANTE</v>
          </cell>
          <cell r="F167" t="str">
            <v>VIA BRUNO PRIMI, 14</v>
          </cell>
          <cell r="G167">
            <v>44695</v>
          </cell>
          <cell r="H167" t="str">
            <v>Attivo</v>
          </cell>
        </row>
        <row r="168">
          <cell r="A168">
            <v>1527</v>
          </cell>
          <cell r="B168" t="str">
            <v>NORD OVEST</v>
          </cell>
          <cell r="C168" t="str">
            <v>LOMBARDIA</v>
          </cell>
          <cell r="D168" t="str">
            <v>BERGAMO</v>
          </cell>
          <cell r="E168" t="str">
            <v>DALMINE</v>
          </cell>
          <cell r="F168" t="str">
            <v>STRADA PROVINCIALE 84</v>
          </cell>
          <cell r="G168">
            <v>44204</v>
          </cell>
          <cell r="H168" t="str">
            <v>Attivo</v>
          </cell>
        </row>
        <row r="169">
          <cell r="A169">
            <v>1717</v>
          </cell>
          <cell r="B169" t="str">
            <v>NORD OVEST</v>
          </cell>
          <cell r="C169" t="str">
            <v>LOMBARDIA</v>
          </cell>
          <cell r="D169" t="str">
            <v>BRESCIA</v>
          </cell>
          <cell r="E169" t="str">
            <v>PAITONE</v>
          </cell>
          <cell r="F169" t="str">
            <v>SS 45 BIS KM 55+370</v>
          </cell>
          <cell r="G169">
            <v>44705</v>
          </cell>
          <cell r="H169" t="str">
            <v>Attivo</v>
          </cell>
        </row>
        <row r="170">
          <cell r="A170">
            <v>1971</v>
          </cell>
          <cell r="B170" t="str">
            <v>NORD OVEST</v>
          </cell>
          <cell r="C170" t="str">
            <v>LOMBARDIA</v>
          </cell>
          <cell r="D170" t="str">
            <v>CREMONA</v>
          </cell>
          <cell r="E170" t="str">
            <v>CREMONA</v>
          </cell>
          <cell r="F170" t="str">
            <v>VIA BERGAMO 47</v>
          </cell>
          <cell r="G170">
            <v>45605</v>
          </cell>
          <cell r="H170" t="str">
            <v>Attivo</v>
          </cell>
        </row>
        <row r="171">
          <cell r="A171">
            <v>3288</v>
          </cell>
          <cell r="B171" t="str">
            <v>NORD EST</v>
          </cell>
          <cell r="C171" t="str">
            <v>VENETO</v>
          </cell>
          <cell r="D171" t="str">
            <v>PADOVA</v>
          </cell>
          <cell r="E171" t="str">
            <v>PADOVA</v>
          </cell>
          <cell r="F171" t="str">
            <v>VIA GATTAMELATA 24</v>
          </cell>
          <cell r="G171">
            <v>44715</v>
          </cell>
          <cell r="H171" t="str">
            <v>Attivo</v>
          </cell>
        </row>
        <row r="172">
          <cell r="A172">
            <v>4892</v>
          </cell>
          <cell r="B172" t="str">
            <v>CENTRO</v>
          </cell>
          <cell r="C172" t="str">
            <v>TOSCANA</v>
          </cell>
          <cell r="D172" t="str">
            <v>FIRENZE</v>
          </cell>
          <cell r="E172" t="str">
            <v>FIRENZE</v>
          </cell>
          <cell r="F172" t="str">
            <v>VIA SESTESE, 97/99</v>
          </cell>
          <cell r="G172">
            <v>44855</v>
          </cell>
          <cell r="H172" t="str">
            <v>Attivo</v>
          </cell>
        </row>
        <row r="173">
          <cell r="A173">
            <v>4978</v>
          </cell>
          <cell r="B173" t="str">
            <v>CENTRO</v>
          </cell>
          <cell r="C173" t="str">
            <v>TOSCANA</v>
          </cell>
          <cell r="D173" t="str">
            <v>GROSSETO</v>
          </cell>
          <cell r="E173" t="str">
            <v>SCARLINO</v>
          </cell>
          <cell r="F173" t="str">
            <v>SS 1 VAR.AURELIA KM.223,2</v>
          </cell>
          <cell r="G173">
            <v>45610</v>
          </cell>
          <cell r="H173" t="str">
            <v>Attivo</v>
          </cell>
        </row>
        <row r="174">
          <cell r="A174">
            <v>5530</v>
          </cell>
          <cell r="B174" t="str">
            <v>NORD EST</v>
          </cell>
          <cell r="C174" t="str">
            <v>EMILIA-ROMAGNA</v>
          </cell>
          <cell r="D174" t="str">
            <v>BOLOGNA</v>
          </cell>
          <cell r="E174" t="str">
            <v>BOLOGNA</v>
          </cell>
          <cell r="F174" t="str">
            <v>VIA MASSARENTI, 221/3</v>
          </cell>
          <cell r="G174">
            <v>44636</v>
          </cell>
          <cell r="H174" t="str">
            <v>Attivo</v>
          </cell>
        </row>
        <row r="175">
          <cell r="A175">
            <v>5635</v>
          </cell>
          <cell r="B175" t="str">
            <v>NORD EST</v>
          </cell>
          <cell r="C175" t="str">
            <v>EMILIA-ROMAGNA</v>
          </cell>
          <cell r="D175" t="str">
            <v>RAVENNA</v>
          </cell>
          <cell r="E175" t="str">
            <v>RAVENNA</v>
          </cell>
          <cell r="F175" t="str">
            <v>VIA ROMEA NORD 102</v>
          </cell>
          <cell r="G175">
            <v>44144</v>
          </cell>
          <cell r="H175" t="str">
            <v>Attivo</v>
          </cell>
        </row>
        <row r="176">
          <cell r="A176">
            <v>5911</v>
          </cell>
          <cell r="B176" t="str">
            <v>NORD EST</v>
          </cell>
          <cell r="C176" t="str">
            <v>EMILIA-ROMAGNA</v>
          </cell>
          <cell r="D176" t="str">
            <v>FORLI CESENA</v>
          </cell>
          <cell r="E176" t="str">
            <v>CESENA</v>
          </cell>
          <cell r="F176" t="str">
            <v>VIA ROMEA 1498</v>
          </cell>
          <cell r="G176">
            <v>44414</v>
          </cell>
          <cell r="H176" t="str">
            <v>Attivo</v>
          </cell>
        </row>
        <row r="177">
          <cell r="A177">
            <v>5941</v>
          </cell>
          <cell r="B177" t="str">
            <v>NORD EST</v>
          </cell>
          <cell r="C177" t="str">
            <v>EMILIA-ROMAGNA</v>
          </cell>
          <cell r="D177" t="str">
            <v>FORLI CESENA</v>
          </cell>
          <cell r="E177" t="str">
            <v>FORLÌ</v>
          </cell>
          <cell r="F177" t="str">
            <v>VIA EUGENIO BERTINI</v>
          </cell>
          <cell r="G177">
            <v>44867</v>
          </cell>
          <cell r="H177" t="str">
            <v>Attivo</v>
          </cell>
        </row>
        <row r="178">
          <cell r="A178">
            <v>6556</v>
          </cell>
          <cell r="B178" t="str">
            <v>CENTRO</v>
          </cell>
          <cell r="C178" t="str">
            <v>ABRUZZO</v>
          </cell>
          <cell r="D178" t="str">
            <v>L'AQUILA</v>
          </cell>
          <cell r="E178" t="str">
            <v>L'AQUILA</v>
          </cell>
          <cell r="F178" t="str">
            <v>VIALE DELLA CROCE ROSSA 42/D</v>
          </cell>
          <cell r="G178">
            <v>44874</v>
          </cell>
          <cell r="H178" t="str">
            <v>Attivo</v>
          </cell>
        </row>
        <row r="179">
          <cell r="A179">
            <v>6621</v>
          </cell>
          <cell r="B179" t="str">
            <v>CENTRO</v>
          </cell>
          <cell r="C179" t="str">
            <v>LAZIO</v>
          </cell>
          <cell r="D179" t="str">
            <v>FROSINONE</v>
          </cell>
          <cell r="E179" t="str">
            <v>CASSINO</v>
          </cell>
          <cell r="F179" t="str">
            <v>VIA CASILINA SUD KM 140+200</v>
          </cell>
          <cell r="G179">
            <v>44610</v>
          </cell>
          <cell r="H179" t="str">
            <v>Attivo</v>
          </cell>
        </row>
        <row r="180">
          <cell r="A180">
            <v>6753</v>
          </cell>
          <cell r="B180" t="str">
            <v>NORD EST</v>
          </cell>
          <cell r="C180" t="str">
            <v>MARCHE</v>
          </cell>
          <cell r="D180" t="str">
            <v>MACERATA</v>
          </cell>
          <cell r="E180" t="str">
            <v>CIVITANOVA MARCHE</v>
          </cell>
          <cell r="F180" t="str">
            <v>VIA CARDUCCI</v>
          </cell>
          <cell r="G180">
            <v>44711</v>
          </cell>
          <cell r="H180" t="str">
            <v>Attivo</v>
          </cell>
        </row>
        <row r="181">
          <cell r="A181">
            <v>9673</v>
          </cell>
          <cell r="B181" t="str">
            <v>SUD</v>
          </cell>
          <cell r="C181" t="str">
            <v>SICILIA</v>
          </cell>
          <cell r="D181" t="str">
            <v>MESSINA</v>
          </cell>
          <cell r="E181" t="str">
            <v>SANT'AGATA DI MILITELLO</v>
          </cell>
          <cell r="F181" t="str">
            <v>VIA MEDICI CONTRADA CANNAMELATA</v>
          </cell>
          <cell r="G181">
            <v>44628</v>
          </cell>
          <cell r="H181" t="str">
            <v>Attivo</v>
          </cell>
        </row>
        <row r="182">
          <cell r="A182">
            <v>11421</v>
          </cell>
          <cell r="B182" t="str">
            <v>NORD OVEST</v>
          </cell>
          <cell r="C182" t="str">
            <v>PIEMONTE</v>
          </cell>
          <cell r="D182" t="str">
            <v>ALESSANDRIA</v>
          </cell>
          <cell r="E182" t="str">
            <v>CASALE MONFERRATO</v>
          </cell>
          <cell r="F182" t="str">
            <v>STR PROV PER VALENZA 4/B</v>
          </cell>
          <cell r="G182">
            <v>44705</v>
          </cell>
          <cell r="H182" t="str">
            <v>Attivo</v>
          </cell>
        </row>
        <row r="183">
          <cell r="A183">
            <v>13223</v>
          </cell>
          <cell r="B183" t="str">
            <v>NORD EST</v>
          </cell>
          <cell r="C183" t="str">
            <v>VENETO</v>
          </cell>
          <cell r="D183" t="str">
            <v>PADOVA</v>
          </cell>
          <cell r="E183" t="str">
            <v>PADOVA</v>
          </cell>
          <cell r="F183" t="str">
            <v>CORSO STATI UNITI 27</v>
          </cell>
          <cell r="G183">
            <v>44880</v>
          </cell>
          <cell r="H183" t="str">
            <v>Attivo</v>
          </cell>
        </row>
        <row r="184">
          <cell r="A184">
            <v>19554</v>
          </cell>
          <cell r="B184" t="str">
            <v>SUD</v>
          </cell>
          <cell r="C184" t="str">
            <v>SICILIA</v>
          </cell>
          <cell r="D184" t="str">
            <v>CATANIA</v>
          </cell>
          <cell r="E184" t="str">
            <v>CATANIA</v>
          </cell>
          <cell r="F184" t="str">
            <v>VIA ACQUICELLA PORTO 5</v>
          </cell>
          <cell r="G184">
            <v>44151</v>
          </cell>
          <cell r="H184" t="str">
            <v>Attivo</v>
          </cell>
        </row>
        <row r="185">
          <cell r="A185">
            <v>22968</v>
          </cell>
          <cell r="B185" t="str">
            <v>NORD EST</v>
          </cell>
          <cell r="C185" t="str">
            <v>EMILIA-ROMAGNA</v>
          </cell>
          <cell r="D185" t="str">
            <v>PARMA</v>
          </cell>
          <cell r="E185" t="str">
            <v>PARMA</v>
          </cell>
          <cell r="F185" t="str">
            <v>VIA MANTOVA 109 A</v>
          </cell>
          <cell r="G185">
            <v>44876</v>
          </cell>
          <cell r="H185" t="str">
            <v>Attivo</v>
          </cell>
        </row>
        <row r="186">
          <cell r="A186">
            <v>23960</v>
          </cell>
          <cell r="B186" t="str">
            <v>NORD EST</v>
          </cell>
          <cell r="C186" t="str">
            <v>VENETO</v>
          </cell>
          <cell r="D186" t="str">
            <v>VICENZA</v>
          </cell>
          <cell r="E186" t="str">
            <v>CASSOLA</v>
          </cell>
          <cell r="F186" t="str">
            <v>SS 47 VALSUGANA KM.42+600</v>
          </cell>
          <cell r="G186">
            <v>44649</v>
          </cell>
          <cell r="H186" t="str">
            <v>Attivo</v>
          </cell>
        </row>
        <row r="187">
          <cell r="A187">
            <v>34723</v>
          </cell>
          <cell r="B187" t="str">
            <v>CENTRO</v>
          </cell>
          <cell r="C187" t="str">
            <v>TOSCANA</v>
          </cell>
          <cell r="D187" t="str">
            <v>FIRENZE</v>
          </cell>
          <cell r="E187" t="str">
            <v>FIRENZE</v>
          </cell>
          <cell r="F187" t="str">
            <v>VIALE NENNI 19 -21</v>
          </cell>
          <cell r="G187">
            <v>44746</v>
          </cell>
          <cell r="H187" t="str">
            <v>Attivo</v>
          </cell>
        </row>
        <row r="188">
          <cell r="A188">
            <v>52952</v>
          </cell>
          <cell r="B188" t="str">
            <v>NORD OVEST</v>
          </cell>
          <cell r="C188" t="str">
            <v>PIEMONTE</v>
          </cell>
          <cell r="D188" t="str">
            <v>TORINO</v>
          </cell>
          <cell r="E188" t="str">
            <v>ALPIGNANO</v>
          </cell>
          <cell r="F188" t="str">
            <v>S.S. 24 KM.16+760 S.N.</v>
          </cell>
          <cell r="G188">
            <v>45969</v>
          </cell>
          <cell r="H188" t="str">
            <v>Attivo</v>
          </cell>
        </row>
        <row r="189">
          <cell r="A189">
            <v>53854</v>
          </cell>
          <cell r="B189" t="str">
            <v>NORD EST</v>
          </cell>
          <cell r="C189" t="str">
            <v>MARCHE</v>
          </cell>
          <cell r="D189" t="str">
            <v>ANCONA</v>
          </cell>
          <cell r="E189" t="str">
            <v>LORETO</v>
          </cell>
          <cell r="F189" t="str">
            <v>MANZONI LOC. VILLA PAPA</v>
          </cell>
          <cell r="G189">
            <v>44823</v>
          </cell>
          <cell r="H189" t="str">
            <v>Attivo</v>
          </cell>
        </row>
        <row r="190">
          <cell r="A190">
            <v>53866</v>
          </cell>
          <cell r="B190" t="str">
            <v>NORD EST</v>
          </cell>
          <cell r="C190" t="str">
            <v>MARCHE</v>
          </cell>
          <cell r="D190" t="str">
            <v>ANCONA</v>
          </cell>
          <cell r="E190" t="str">
            <v>FALCONARA MARITTIMA</v>
          </cell>
          <cell r="F190" t="str">
            <v>SS 16 KM 288+700 - VIA FLAMINIA  671 671</v>
          </cell>
          <cell r="G190">
            <v>44823</v>
          </cell>
          <cell r="H190" t="str">
            <v>Attivo</v>
          </cell>
        </row>
        <row r="191">
          <cell r="A191">
            <v>54151</v>
          </cell>
          <cell r="B191" t="str">
            <v>NORD OVEST</v>
          </cell>
          <cell r="C191" t="str">
            <v>LIGURIA</v>
          </cell>
          <cell r="D191" t="str">
            <v>IMPERIA</v>
          </cell>
          <cell r="E191" t="str">
            <v>IMPERIA</v>
          </cell>
          <cell r="F191" t="str">
            <v>SS 28 KM 136 + 600</v>
          </cell>
          <cell r="G191">
            <v>44861</v>
          </cell>
          <cell r="H191" t="str">
            <v>Attivo</v>
          </cell>
        </row>
        <row r="192">
          <cell r="A192">
            <v>54396</v>
          </cell>
          <cell r="B192" t="str">
            <v>CENTRO</v>
          </cell>
          <cell r="C192" t="str">
            <v>ABRUZZO</v>
          </cell>
          <cell r="D192" t="str">
            <v>CHIETI</v>
          </cell>
          <cell r="E192" t="str">
            <v>CHIETI</v>
          </cell>
          <cell r="F192" t="str">
            <v>V.LE B.CROCE 270B LOC.CHIETI SCALO</v>
          </cell>
          <cell r="G192">
            <v>44825</v>
          </cell>
          <cell r="H192" t="str">
            <v>Attivo</v>
          </cell>
        </row>
        <row r="193">
          <cell r="A193">
            <v>54479</v>
          </cell>
          <cell r="B193" t="str">
            <v>NORD EST</v>
          </cell>
          <cell r="C193" t="str">
            <v>EMILIA-ROMAGNA</v>
          </cell>
          <cell r="D193" t="str">
            <v>BOLOGNA</v>
          </cell>
          <cell r="E193" t="str">
            <v>BENTIVOGLIO</v>
          </cell>
          <cell r="F193" t="str">
            <v>TRASVERSALE DI PIANURA</v>
          </cell>
          <cell r="G193">
            <v>45821</v>
          </cell>
          <cell r="H193" t="str">
            <v>Attivo</v>
          </cell>
        </row>
        <row r="194">
          <cell r="A194">
            <v>55557</v>
          </cell>
          <cell r="B194" t="str">
            <v>NORD EST</v>
          </cell>
          <cell r="C194" t="str">
            <v>EMILIA-ROMAGNA</v>
          </cell>
          <cell r="D194" t="str">
            <v>PARMA</v>
          </cell>
          <cell r="E194" t="str">
            <v>PARMA</v>
          </cell>
          <cell r="F194" t="str">
            <v>VIA TRAVERSETOLO</v>
          </cell>
          <cell r="G194">
            <v>44713</v>
          </cell>
          <cell r="H194" t="str">
            <v>Attivo</v>
          </cell>
        </row>
        <row r="195">
          <cell r="A195">
            <v>56133</v>
          </cell>
          <cell r="B195" t="str">
            <v>NORD OVEST</v>
          </cell>
          <cell r="C195" t="str">
            <v>LOMBARDIA</v>
          </cell>
          <cell r="D195" t="str">
            <v>MONZA E DELLA BRIANZA</v>
          </cell>
          <cell r="E195" t="str">
            <v>LIMBIATE</v>
          </cell>
          <cell r="F195" t="str">
            <v>VIALE DEI MILLE</v>
          </cell>
          <cell r="G195">
            <v>45489</v>
          </cell>
          <cell r="H195" t="str">
            <v>Attivo</v>
          </cell>
        </row>
        <row r="196">
          <cell r="A196">
            <v>215</v>
          </cell>
          <cell r="B196" t="str">
            <v>NORD OVEST</v>
          </cell>
          <cell r="C196" t="str">
            <v>PIEMONTE</v>
          </cell>
          <cell r="D196" t="str">
            <v>CUNEO</v>
          </cell>
          <cell r="E196" t="str">
            <v>SAVIGLIANO</v>
          </cell>
          <cell r="F196" t="str">
            <v>VIA LIGURIA 1</v>
          </cell>
          <cell r="G196">
            <v>44078</v>
          </cell>
          <cell r="H196" t="str">
            <v>Attivo</v>
          </cell>
        </row>
        <row r="197">
          <cell r="A197">
            <v>687</v>
          </cell>
          <cell r="B197" t="str">
            <v>NORD OVEST</v>
          </cell>
          <cell r="C197" t="str">
            <v>PIEMONTE</v>
          </cell>
          <cell r="D197" t="str">
            <v>TORINO</v>
          </cell>
          <cell r="E197" t="str">
            <v>MONCALIERI</v>
          </cell>
          <cell r="F197" t="str">
            <v>CORSO ROMA SS 10 0017</v>
          </cell>
          <cell r="G197">
            <v>44055</v>
          </cell>
          <cell r="H197" t="str">
            <v>Attivo</v>
          </cell>
        </row>
        <row r="198">
          <cell r="A198">
            <v>991</v>
          </cell>
          <cell r="B198" t="str">
            <v>NORD OVEST</v>
          </cell>
          <cell r="C198" t="str">
            <v>PIEMONTE</v>
          </cell>
          <cell r="D198" t="str">
            <v>TORINO</v>
          </cell>
          <cell r="E198" t="str">
            <v>ROLETTO</v>
          </cell>
          <cell r="F198" t="str">
            <v>S.S. 589 KM. 27+770</v>
          </cell>
          <cell r="G198">
            <v>44301</v>
          </cell>
          <cell r="H198" t="str">
            <v>Attivo</v>
          </cell>
        </row>
        <row r="199">
          <cell r="A199">
            <v>1371</v>
          </cell>
          <cell r="B199" t="str">
            <v>NORD OVEST</v>
          </cell>
          <cell r="C199" t="str">
            <v>LIGURIA</v>
          </cell>
          <cell r="D199" t="str">
            <v>SAVONA</v>
          </cell>
          <cell r="E199" t="str">
            <v>SAVONA</v>
          </cell>
          <cell r="F199" t="str">
            <v>VIA NAZIONALE PIEMONTE 68 R</v>
          </cell>
          <cell r="G199">
            <v>44144</v>
          </cell>
          <cell r="H199" t="str">
            <v>Attivo</v>
          </cell>
        </row>
        <row r="200">
          <cell r="A200">
            <v>1480</v>
          </cell>
          <cell r="B200" t="str">
            <v>NORD OVEST</v>
          </cell>
          <cell r="C200" t="str">
            <v>PIEMONTE</v>
          </cell>
          <cell r="D200" t="str">
            <v>ASTI</v>
          </cell>
          <cell r="E200" t="str">
            <v>ASTI</v>
          </cell>
          <cell r="F200" t="str">
            <v>S.S. 10</v>
          </cell>
          <cell r="G200">
            <v>44235</v>
          </cell>
          <cell r="H200" t="str">
            <v>Attivo</v>
          </cell>
        </row>
        <row r="201">
          <cell r="A201">
            <v>1679</v>
          </cell>
          <cell r="B201" t="str">
            <v>NORD OVEST</v>
          </cell>
          <cell r="C201" t="str">
            <v>LOMBARDIA</v>
          </cell>
          <cell r="D201" t="str">
            <v>BRESCIA</v>
          </cell>
          <cell r="E201" t="str">
            <v>EDOLO</v>
          </cell>
          <cell r="F201" t="str">
            <v>SS 42 KM 117+560</v>
          </cell>
          <cell r="G201">
            <v>44723</v>
          </cell>
          <cell r="H201" t="str">
            <v>Attivo</v>
          </cell>
        </row>
        <row r="202">
          <cell r="A202">
            <v>1919</v>
          </cell>
          <cell r="B202" t="str">
            <v>NORD OVEST</v>
          </cell>
          <cell r="C202" t="str">
            <v>LOMBARDIA</v>
          </cell>
          <cell r="D202" t="str">
            <v>COMO</v>
          </cell>
          <cell r="E202" t="str">
            <v>COMO</v>
          </cell>
          <cell r="F202" t="str">
            <v>VIA ROSSELLI 19</v>
          </cell>
          <cell r="G202">
            <v>44691</v>
          </cell>
          <cell r="H202" t="str">
            <v>Attivo</v>
          </cell>
        </row>
        <row r="203">
          <cell r="A203">
            <v>2036</v>
          </cell>
          <cell r="B203" t="str">
            <v>NORD OVEST</v>
          </cell>
          <cell r="C203" t="str">
            <v>LOMBARDIA</v>
          </cell>
          <cell r="D203" t="str">
            <v>CREMONA</v>
          </cell>
          <cell r="E203" t="str">
            <v>CREMONA</v>
          </cell>
          <cell r="F203" t="str">
            <v>VIA CASTELLEONE, 47</v>
          </cell>
          <cell r="G203">
            <v>44216</v>
          </cell>
          <cell r="H203" t="str">
            <v>Attivo</v>
          </cell>
        </row>
        <row r="204">
          <cell r="A204">
            <v>2384</v>
          </cell>
          <cell r="B204" t="str">
            <v>NORD OVEST</v>
          </cell>
          <cell r="C204" t="str">
            <v>LOMBARDIA</v>
          </cell>
          <cell r="D204" t="str">
            <v>MONZA E DELLA BRIANZA</v>
          </cell>
          <cell r="E204" t="str">
            <v>DESIO</v>
          </cell>
          <cell r="F204" t="str">
            <v>MILANO</v>
          </cell>
          <cell r="G204">
            <v>44687</v>
          </cell>
          <cell r="H204" t="str">
            <v>Attivo</v>
          </cell>
        </row>
        <row r="205">
          <cell r="A205">
            <v>2566</v>
          </cell>
          <cell r="B205" t="str">
            <v>NORD OVEST</v>
          </cell>
          <cell r="C205" t="str">
            <v>LOMBARDIA</v>
          </cell>
          <cell r="D205" t="str">
            <v>PAVIA</v>
          </cell>
          <cell r="E205" t="str">
            <v>PAVIA</v>
          </cell>
          <cell r="F205" t="str">
            <v>VAI CAMILLO CAMPARI</v>
          </cell>
          <cell r="G205">
            <v>44881</v>
          </cell>
          <cell r="H205" t="str">
            <v>Attivo</v>
          </cell>
        </row>
        <row r="206">
          <cell r="A206">
            <v>2591</v>
          </cell>
          <cell r="B206" t="str">
            <v>NORD OVEST</v>
          </cell>
          <cell r="C206" t="str">
            <v>LOMBARDIA</v>
          </cell>
          <cell r="D206" t="str">
            <v>PAVIA</v>
          </cell>
          <cell r="E206" t="str">
            <v>VOGHERA</v>
          </cell>
          <cell r="F206" t="str">
            <v>VIA CARLO EMANUELE 5</v>
          </cell>
          <cell r="G206">
            <v>44776</v>
          </cell>
          <cell r="H206" t="str">
            <v>Attivo</v>
          </cell>
        </row>
        <row r="207">
          <cell r="A207">
            <v>2597</v>
          </cell>
          <cell r="B207" t="str">
            <v>NORD OVEST</v>
          </cell>
          <cell r="C207" t="str">
            <v>LOMBARDIA</v>
          </cell>
          <cell r="D207" t="str">
            <v>PAVIA</v>
          </cell>
          <cell r="E207" t="str">
            <v>SANNAZZARO DE' BURGONDI</v>
          </cell>
          <cell r="F207" t="str">
            <v>VIA F.LLI ROSSELLI, N. 17</v>
          </cell>
          <cell r="G207">
            <v>44201</v>
          </cell>
          <cell r="H207" t="str">
            <v>Attivo</v>
          </cell>
        </row>
        <row r="208">
          <cell r="A208">
            <v>2872</v>
          </cell>
          <cell r="B208" t="str">
            <v>NORD OVEST</v>
          </cell>
          <cell r="C208" t="str">
            <v>LOMBARDIA</v>
          </cell>
          <cell r="D208" t="str">
            <v>VARESE</v>
          </cell>
          <cell r="E208" t="str">
            <v>LONATE POZZOLO</v>
          </cell>
          <cell r="F208" t="str">
            <v>S.S.527 KM 45 664</v>
          </cell>
          <cell r="G208">
            <v>44692</v>
          </cell>
          <cell r="H208" t="str">
            <v>Attivo</v>
          </cell>
        </row>
        <row r="209">
          <cell r="A209">
            <v>2874</v>
          </cell>
          <cell r="B209" t="str">
            <v>NORD OVEST</v>
          </cell>
          <cell r="C209" t="str">
            <v>LOMBARDIA</v>
          </cell>
          <cell r="D209" t="str">
            <v>VARESE</v>
          </cell>
          <cell r="E209" t="str">
            <v>OLGIATE OLONA</v>
          </cell>
          <cell r="F209" t="str">
            <v>VIA FAGNANO OLONA  30</v>
          </cell>
          <cell r="G209">
            <v>44183</v>
          </cell>
          <cell r="H209" t="str">
            <v>Attivo</v>
          </cell>
        </row>
        <row r="210">
          <cell r="A210">
            <v>5408</v>
          </cell>
          <cell r="B210" t="str">
            <v>CENTRO</v>
          </cell>
          <cell r="C210" t="str">
            <v>TOSCANA</v>
          </cell>
          <cell r="D210" t="str">
            <v>SIENA</v>
          </cell>
          <cell r="E210" t="str">
            <v>CHIUSI</v>
          </cell>
          <cell r="F210" t="str">
            <v>S.S. 146 - KM. 2+180 SNC</v>
          </cell>
          <cell r="G210">
            <v>44690</v>
          </cell>
          <cell r="H210" t="str">
            <v>Attivo</v>
          </cell>
        </row>
        <row r="211">
          <cell r="A211">
            <v>6019</v>
          </cell>
          <cell r="B211" t="str">
            <v>NORD EST</v>
          </cell>
          <cell r="C211" t="str">
            <v>EMILIA-ROMAGNA</v>
          </cell>
          <cell r="D211" t="str">
            <v>RIMINI</v>
          </cell>
          <cell r="E211" t="str">
            <v>MISANO ADRIATICO</v>
          </cell>
          <cell r="F211" t="str">
            <v>VIA NAZIONALE ADRIATICA 148</v>
          </cell>
          <cell r="G211">
            <v>44146</v>
          </cell>
          <cell r="H211" t="str">
            <v>Attivo</v>
          </cell>
        </row>
        <row r="212">
          <cell r="A212">
            <v>6416</v>
          </cell>
          <cell r="B212" t="str">
            <v>NORD EST</v>
          </cell>
          <cell r="C212" t="str">
            <v>EMILIA-ROMAGNA</v>
          </cell>
          <cell r="D212" t="str">
            <v>REGGIO EMILIA</v>
          </cell>
          <cell r="E212" t="str">
            <v>REGGIO NELL'EMILIA</v>
          </cell>
          <cell r="F212" t="str">
            <v>VIA MARTIRI DI CERVAROLO</v>
          </cell>
          <cell r="G212">
            <v>44610</v>
          </cell>
          <cell r="H212" t="str">
            <v>Attivo</v>
          </cell>
        </row>
        <row r="213">
          <cell r="A213">
            <v>6598</v>
          </cell>
          <cell r="B213" t="str">
            <v>CENTRO</v>
          </cell>
          <cell r="C213" t="str">
            <v>ABRUZZO</v>
          </cell>
          <cell r="D213" t="str">
            <v>CHIETI</v>
          </cell>
          <cell r="E213" t="str">
            <v>VASTO</v>
          </cell>
          <cell r="F213" t="str">
            <v>CORSO MAZZINI</v>
          </cell>
          <cell r="G213">
            <v>44692</v>
          </cell>
          <cell r="H213" t="str">
            <v>Attivo</v>
          </cell>
        </row>
        <row r="214">
          <cell r="A214">
            <v>6622</v>
          </cell>
          <cell r="B214" t="str">
            <v>CENTRO</v>
          </cell>
          <cell r="C214" t="str">
            <v>LAZIO</v>
          </cell>
          <cell r="D214" t="str">
            <v>FROSINONE</v>
          </cell>
          <cell r="E214" t="str">
            <v>CEPRANO</v>
          </cell>
          <cell r="F214" t="str">
            <v>VIA CASILINA KM 104+320</v>
          </cell>
          <cell r="G214">
            <v>44147</v>
          </cell>
          <cell r="H214" t="str">
            <v>Attivo</v>
          </cell>
        </row>
        <row r="215">
          <cell r="A215">
            <v>7221</v>
          </cell>
          <cell r="B215" t="str">
            <v>CENTRO</v>
          </cell>
          <cell r="C215" t="str">
            <v>LAZIO</v>
          </cell>
          <cell r="D215" t="str">
            <v>ROMA</v>
          </cell>
          <cell r="E215" t="str">
            <v>ROMA</v>
          </cell>
          <cell r="F215" t="str">
            <v>VIA TAGLIAMENTO 0049</v>
          </cell>
          <cell r="G215">
            <v>44853</v>
          </cell>
          <cell r="H215" t="str">
            <v>Attivo</v>
          </cell>
        </row>
        <row r="216">
          <cell r="A216">
            <v>9139</v>
          </cell>
          <cell r="B216" t="str">
            <v>SUD</v>
          </cell>
          <cell r="C216" t="str">
            <v>PUGLIA</v>
          </cell>
          <cell r="D216" t="str">
            <v>BARI</v>
          </cell>
          <cell r="E216" t="str">
            <v>CASAMASSIMA</v>
          </cell>
          <cell r="F216" t="str">
            <v>S.S. 100 KM. 20+123</v>
          </cell>
          <cell r="G216">
            <v>45114</v>
          </cell>
          <cell r="H216" t="str">
            <v>Attivo</v>
          </cell>
        </row>
        <row r="217">
          <cell r="A217">
            <v>9298</v>
          </cell>
          <cell r="B217" t="str">
            <v>SUD</v>
          </cell>
          <cell r="C217" t="str">
            <v>PUGLIA</v>
          </cell>
          <cell r="D217" t="str">
            <v>FOGGIA</v>
          </cell>
          <cell r="E217" t="str">
            <v>FOGGIA</v>
          </cell>
          <cell r="F217" t="str">
            <v>VIALE DEGLI AVIATORI 108/B</v>
          </cell>
          <cell r="G217">
            <v>44692</v>
          </cell>
          <cell r="H217" t="str">
            <v>Attivo</v>
          </cell>
        </row>
        <row r="218">
          <cell r="A218">
            <v>9619</v>
          </cell>
          <cell r="B218" t="str">
            <v>SUD</v>
          </cell>
          <cell r="C218" t="str">
            <v>SICILIA</v>
          </cell>
          <cell r="D218" t="str">
            <v>CATANIA</v>
          </cell>
          <cell r="E218" t="str">
            <v>FIUMEFREDDO DI SICILIA</v>
          </cell>
          <cell r="F218" t="str">
            <v>VIA MARCONI</v>
          </cell>
          <cell r="G218">
            <v>44629</v>
          </cell>
          <cell r="H218" t="str">
            <v>Attivo</v>
          </cell>
        </row>
        <row r="219">
          <cell r="A219">
            <v>9662</v>
          </cell>
          <cell r="B219" t="str">
            <v>SUD</v>
          </cell>
          <cell r="C219" t="str">
            <v>SICILIA</v>
          </cell>
          <cell r="D219" t="str">
            <v>MESSINA</v>
          </cell>
          <cell r="E219" t="str">
            <v>MESSINA</v>
          </cell>
          <cell r="F219" t="str">
            <v>SS.114 KM. 15+417</v>
          </cell>
          <cell r="G219">
            <v>44880</v>
          </cell>
          <cell r="H219" t="str">
            <v>Attivo</v>
          </cell>
        </row>
        <row r="220">
          <cell r="A220">
            <v>9704</v>
          </cell>
          <cell r="B220" t="str">
            <v>SUD</v>
          </cell>
          <cell r="C220" t="str">
            <v>SICILIA</v>
          </cell>
          <cell r="D220" t="str">
            <v>MESSINA</v>
          </cell>
          <cell r="E220" t="str">
            <v>ACQUEDOLCI</v>
          </cell>
          <cell r="F220" t="str">
            <v>VIA NAZIONALE SS.113 KM.126+947  SNC</v>
          </cell>
          <cell r="G220">
            <v>45239</v>
          </cell>
          <cell r="H220" t="str">
            <v>Attivo</v>
          </cell>
        </row>
        <row r="221">
          <cell r="A221">
            <v>9719</v>
          </cell>
          <cell r="B221" t="str">
            <v>SUD</v>
          </cell>
          <cell r="C221" t="str">
            <v>SICILIA</v>
          </cell>
          <cell r="D221" t="str">
            <v>MESSINA</v>
          </cell>
          <cell r="E221" t="str">
            <v>TERME VIGLIATORE</v>
          </cell>
          <cell r="F221" t="str">
            <v>S.S.113 KM.53+563</v>
          </cell>
          <cell r="G221">
            <v>45113</v>
          </cell>
          <cell r="H221" t="str">
            <v>Attivo</v>
          </cell>
        </row>
        <row r="222">
          <cell r="A222">
            <v>12351</v>
          </cell>
          <cell r="B222" t="str">
            <v>NORD OVEST</v>
          </cell>
          <cell r="C222" t="str">
            <v>LOMBARDIA</v>
          </cell>
          <cell r="D222" t="str">
            <v>MILANO</v>
          </cell>
          <cell r="E222" t="str">
            <v>MILANO</v>
          </cell>
          <cell r="F222" t="str">
            <v>LORENTEGGIO 0239</v>
          </cell>
          <cell r="G222">
            <v>44337</v>
          </cell>
          <cell r="H222" t="str">
            <v>Attivo</v>
          </cell>
        </row>
        <row r="223">
          <cell r="A223">
            <v>12442</v>
          </cell>
          <cell r="B223" t="str">
            <v>NORD OVEST</v>
          </cell>
          <cell r="C223" t="str">
            <v>LOMBARDIA</v>
          </cell>
          <cell r="D223" t="str">
            <v>MILANO</v>
          </cell>
          <cell r="E223" t="str">
            <v>SAN GIULIANO MILANESE</v>
          </cell>
          <cell r="F223" t="str">
            <v>VIALE LOMBARDIA 2 ANGOLO VIA VOLTURNO</v>
          </cell>
          <cell r="G223">
            <v>44067</v>
          </cell>
          <cell r="H223" t="str">
            <v>Attivo</v>
          </cell>
        </row>
        <row r="224">
          <cell r="A224">
            <v>23964</v>
          </cell>
          <cell r="B224" t="str">
            <v>NORD EST</v>
          </cell>
          <cell r="C224" t="str">
            <v>VENETO</v>
          </cell>
          <cell r="D224" t="str">
            <v>VICENZA</v>
          </cell>
          <cell r="E224" t="str">
            <v>SAN VITO DI LEGUZZANO</v>
          </cell>
          <cell r="F224" t="str">
            <v>VIA MARTIRI DELLA LIBERTA 43</v>
          </cell>
          <cell r="G224">
            <v>45496</v>
          </cell>
          <cell r="H224" t="str">
            <v>Attivo</v>
          </cell>
        </row>
        <row r="225">
          <cell r="A225">
            <v>23971</v>
          </cell>
          <cell r="B225" t="str">
            <v>NORD EST</v>
          </cell>
          <cell r="C225" t="str">
            <v>VENETO</v>
          </cell>
          <cell r="D225" t="str">
            <v>VICENZA</v>
          </cell>
          <cell r="E225" t="str">
            <v>LONIGO</v>
          </cell>
          <cell r="F225" t="str">
            <v>VARIANTE SS 500 SNC</v>
          </cell>
          <cell r="G225">
            <v>44158</v>
          </cell>
          <cell r="H225" t="str">
            <v>Attivo</v>
          </cell>
        </row>
        <row r="226">
          <cell r="A226">
            <v>24529</v>
          </cell>
          <cell r="B226" t="str">
            <v>CENTRO</v>
          </cell>
          <cell r="C226" t="str">
            <v>UMBRIA</v>
          </cell>
          <cell r="D226" t="str">
            <v>PERUGIA</v>
          </cell>
          <cell r="E226" t="str">
            <v>PERUGIA</v>
          </cell>
          <cell r="F226" t="str">
            <v>VIA P. SORIANO</v>
          </cell>
          <cell r="G226">
            <v>44909</v>
          </cell>
          <cell r="H226" t="str">
            <v>Attivo</v>
          </cell>
        </row>
        <row r="227">
          <cell r="A227">
            <v>51570</v>
          </cell>
          <cell r="B227" t="str">
            <v>NORD OVEST</v>
          </cell>
          <cell r="C227" t="str">
            <v>LIGURIA</v>
          </cell>
          <cell r="D227" t="str">
            <v>IMPERIA</v>
          </cell>
          <cell r="E227" t="str">
            <v>VENTIMIGLIA</v>
          </cell>
          <cell r="F227" t="str">
            <v>CSO LIMONE PIEMONTE 1</v>
          </cell>
          <cell r="G227">
            <v>44693</v>
          </cell>
          <cell r="H227" t="str">
            <v>Attivo</v>
          </cell>
        </row>
        <row r="228">
          <cell r="A228">
            <v>51887</v>
          </cell>
          <cell r="B228" t="str">
            <v>NORD EST</v>
          </cell>
          <cell r="C228" t="str">
            <v>MARCHE</v>
          </cell>
          <cell r="D228" t="str">
            <v>FERMO</v>
          </cell>
          <cell r="E228" t="str">
            <v>FERMO</v>
          </cell>
          <cell r="F228" t="str">
            <v>VIA SALVO D'ACQUISTO 121</v>
          </cell>
          <cell r="G228">
            <v>44167</v>
          </cell>
          <cell r="H228" t="str">
            <v>Attivo</v>
          </cell>
        </row>
        <row r="229">
          <cell r="A229">
            <v>53808</v>
          </cell>
          <cell r="B229" t="str">
            <v>NORD EST</v>
          </cell>
          <cell r="C229" t="str">
            <v>MARCHE</v>
          </cell>
          <cell r="D229" t="str">
            <v>PESARO E URBINO</v>
          </cell>
          <cell r="E229" t="str">
            <v>FANO</v>
          </cell>
          <cell r="F229" t="str">
            <v>VIA E. MATTEI, 28</v>
          </cell>
          <cell r="G229">
            <v>44167</v>
          </cell>
          <cell r="H229" t="str">
            <v>Attivo</v>
          </cell>
        </row>
        <row r="230">
          <cell r="A230">
            <v>55058</v>
          </cell>
          <cell r="B230" t="str">
            <v>SUD</v>
          </cell>
          <cell r="C230" t="str">
            <v>SICILIA</v>
          </cell>
          <cell r="D230" t="str">
            <v>CATANIA</v>
          </cell>
          <cell r="E230" t="str">
            <v>GIARRE</v>
          </cell>
          <cell r="F230" t="str">
            <v>VIA LUIGI STURZO SN</v>
          </cell>
          <cell r="G230">
            <v>45960</v>
          </cell>
          <cell r="H230" t="str">
            <v>Attivo</v>
          </cell>
        </row>
        <row r="231">
          <cell r="A231">
            <v>55063</v>
          </cell>
          <cell r="B231" t="str">
            <v>SUD</v>
          </cell>
          <cell r="C231" t="str">
            <v>SICILIA</v>
          </cell>
          <cell r="D231" t="str">
            <v>CATANIA</v>
          </cell>
          <cell r="E231" t="str">
            <v>GIARRE</v>
          </cell>
          <cell r="F231" t="str">
            <v>PROVINCIALE MACCHIA DI GIARRE</v>
          </cell>
          <cell r="G231">
            <v>44622</v>
          </cell>
          <cell r="H231" t="str">
            <v>Attivo</v>
          </cell>
        </row>
        <row r="232">
          <cell r="A232">
            <v>55473</v>
          </cell>
          <cell r="B232" t="str">
            <v>NORD OVEST</v>
          </cell>
          <cell r="C232" t="str">
            <v>PIEMONTE</v>
          </cell>
          <cell r="D232" t="str">
            <v>NOVARA</v>
          </cell>
          <cell r="E232" t="str">
            <v>NOVARA</v>
          </cell>
          <cell r="F232" t="str">
            <v>VIA MONTEROSA 6</v>
          </cell>
          <cell r="G232">
            <v>44062</v>
          </cell>
          <cell r="H232" t="str">
            <v>Attivo</v>
          </cell>
        </row>
        <row r="233">
          <cell r="A233">
            <v>55607</v>
          </cell>
          <cell r="B233" t="str">
            <v>SUD</v>
          </cell>
          <cell r="C233" t="str">
            <v>CAMPANIA</v>
          </cell>
          <cell r="D233" t="str">
            <v>NAPOLI</v>
          </cell>
          <cell r="E233" t="str">
            <v>MARIGLIANO</v>
          </cell>
          <cell r="F233" t="str">
            <v>VIA 11 SETTEMBRE</v>
          </cell>
          <cell r="G233">
            <v>44704</v>
          </cell>
          <cell r="H233" t="str">
            <v>Attivo</v>
          </cell>
        </row>
        <row r="234">
          <cell r="A234">
            <v>55864</v>
          </cell>
          <cell r="B234" t="str">
            <v>NORD OVEST</v>
          </cell>
          <cell r="C234" t="str">
            <v>PIEMONTE</v>
          </cell>
          <cell r="D234" t="str">
            <v>ALESSANDRIA</v>
          </cell>
          <cell r="E234" t="str">
            <v>OVADA</v>
          </cell>
          <cell r="F234" t="str">
            <v>VIA GRAMSCI 9/A</v>
          </cell>
          <cell r="G234">
            <v>45113</v>
          </cell>
          <cell r="H234" t="str">
            <v>Attivo</v>
          </cell>
        </row>
        <row r="235">
          <cell r="A235">
            <v>58264</v>
          </cell>
          <cell r="B235" t="str">
            <v>CENTRO</v>
          </cell>
          <cell r="C235" t="str">
            <v>LAZIO</v>
          </cell>
          <cell r="D235" t="str">
            <v>ROMA</v>
          </cell>
          <cell r="E235" t="str">
            <v>ROMA</v>
          </cell>
          <cell r="F235" t="str">
            <v>VIA CIAMPINO KM. 0+370 CAPANNELLE</v>
          </cell>
          <cell r="G235">
            <v>45111</v>
          </cell>
          <cell r="H235" t="str">
            <v>Attivo</v>
          </cell>
        </row>
        <row r="236">
          <cell r="A236">
            <v>779</v>
          </cell>
          <cell r="B236" t="str">
            <v>NORD OVEST</v>
          </cell>
          <cell r="C236" t="str">
            <v>PIEMONTE</v>
          </cell>
          <cell r="D236" t="str">
            <v>TORINO</v>
          </cell>
          <cell r="E236" t="str">
            <v>OZEGNA</v>
          </cell>
          <cell r="F236" t="str">
            <v>SP.CHIVASSO-OZEGNA KM22</v>
          </cell>
          <cell r="G236">
            <v>44875</v>
          </cell>
          <cell r="H236" t="str">
            <v>Attivo</v>
          </cell>
        </row>
        <row r="237">
          <cell r="A237">
            <v>1034</v>
          </cell>
          <cell r="B237" t="str">
            <v>NORD OVEST</v>
          </cell>
          <cell r="C237" t="str">
            <v>LIGURIA</v>
          </cell>
          <cell r="D237" t="str">
            <v>GENOVA</v>
          </cell>
          <cell r="E237" t="str">
            <v>GENOVA</v>
          </cell>
          <cell r="F237" t="str">
            <v>LUNGOBISAGNO D'ISTRIA</v>
          </cell>
          <cell r="G237">
            <v>44698</v>
          </cell>
          <cell r="H237" t="str">
            <v>Attivo</v>
          </cell>
        </row>
        <row r="238">
          <cell r="A238">
            <v>1574</v>
          </cell>
          <cell r="B238" t="str">
            <v>NORD OVEST</v>
          </cell>
          <cell r="C238" t="str">
            <v>LOMBARDIA</v>
          </cell>
          <cell r="D238" t="str">
            <v>BERGAMO</v>
          </cell>
          <cell r="E238" t="str">
            <v>TREVIGLIO</v>
          </cell>
          <cell r="F238" t="str">
            <v>VIALE MANZONI, 11</v>
          </cell>
          <cell r="G238">
            <v>44844</v>
          </cell>
          <cell r="H238" t="str">
            <v>Attivo</v>
          </cell>
        </row>
        <row r="239">
          <cell r="A239">
            <v>1637</v>
          </cell>
          <cell r="B239" t="str">
            <v>NORD OVEST</v>
          </cell>
          <cell r="C239" t="str">
            <v>LOMBARDIA</v>
          </cell>
          <cell r="D239" t="str">
            <v>BERGAMO</v>
          </cell>
          <cell r="E239" t="str">
            <v>CURNO</v>
          </cell>
          <cell r="F239" t="str">
            <v>SS671 VALSERIANA  KM0,9820</v>
          </cell>
          <cell r="G239">
            <v>44704</v>
          </cell>
          <cell r="H239" t="str">
            <v>Attivo</v>
          </cell>
        </row>
        <row r="240">
          <cell r="A240">
            <v>2400</v>
          </cell>
          <cell r="B240" t="str">
            <v>NORD OVEST</v>
          </cell>
          <cell r="C240" t="str">
            <v>LOMBARDIA</v>
          </cell>
          <cell r="D240" t="str">
            <v>MILANO</v>
          </cell>
          <cell r="E240" t="str">
            <v>RHO</v>
          </cell>
          <cell r="F240" t="str">
            <v>PACE</v>
          </cell>
          <cell r="G240">
            <v>44851</v>
          </cell>
          <cell r="H240" t="str">
            <v>Attivo</v>
          </cell>
        </row>
        <row r="241">
          <cell r="A241">
            <v>3244</v>
          </cell>
          <cell r="B241" t="str">
            <v>NORD EST</v>
          </cell>
          <cell r="C241" t="str">
            <v>VENETO</v>
          </cell>
          <cell r="D241" t="str">
            <v>PADOVA</v>
          </cell>
          <cell r="E241" t="str">
            <v>ALBIGNASEGO</v>
          </cell>
          <cell r="F241" t="str">
            <v>ROMA 270</v>
          </cell>
          <cell r="G241">
            <v>44594</v>
          </cell>
          <cell r="H241" t="str">
            <v>Attivo</v>
          </cell>
        </row>
        <row r="242">
          <cell r="A242">
            <v>3269</v>
          </cell>
          <cell r="B242" t="str">
            <v>NORD EST</v>
          </cell>
          <cell r="C242" t="str">
            <v>VENETO</v>
          </cell>
          <cell r="D242" t="str">
            <v>PADOVA</v>
          </cell>
          <cell r="E242" t="str">
            <v>ESTE</v>
          </cell>
          <cell r="F242" t="str">
            <v>BORGO FURO 12</v>
          </cell>
          <cell r="G242">
            <v>44404</v>
          </cell>
          <cell r="H242" t="str">
            <v>Attivo</v>
          </cell>
        </row>
        <row r="243">
          <cell r="A243">
            <v>3827</v>
          </cell>
          <cell r="B243" t="str">
            <v>NORD EST</v>
          </cell>
          <cell r="C243" t="str">
            <v>VENETO</v>
          </cell>
          <cell r="D243" t="str">
            <v>VERONA</v>
          </cell>
          <cell r="E243" t="str">
            <v>SAN BONIFACIO</v>
          </cell>
          <cell r="F243" t="str">
            <v>LOC. VILLABELLA N. 19 S.S. 11</v>
          </cell>
          <cell r="G243">
            <v>45537</v>
          </cell>
          <cell r="H243" t="str">
            <v>Attivo</v>
          </cell>
        </row>
        <row r="244">
          <cell r="A244">
            <v>3838</v>
          </cell>
          <cell r="B244" t="str">
            <v>NORD EST</v>
          </cell>
          <cell r="C244" t="str">
            <v>VENETO</v>
          </cell>
          <cell r="D244" t="str">
            <v>VERONA</v>
          </cell>
          <cell r="E244" t="str">
            <v>VERONA</v>
          </cell>
          <cell r="F244" t="str">
            <v>VIALE DEL LAVORO 22</v>
          </cell>
          <cell r="G244">
            <v>44161</v>
          </cell>
          <cell r="H244" t="str">
            <v>Attivo</v>
          </cell>
        </row>
        <row r="245">
          <cell r="A245">
            <v>3994</v>
          </cell>
          <cell r="B245" t="str">
            <v>NORD EST</v>
          </cell>
          <cell r="C245" t="str">
            <v>VENETO</v>
          </cell>
          <cell r="D245" t="str">
            <v>VICENZA</v>
          </cell>
          <cell r="E245" t="str">
            <v>SCHIO</v>
          </cell>
          <cell r="F245" t="str">
            <v>VIALE DELL'INDUSTRIA 140</v>
          </cell>
          <cell r="G245">
            <v>44163</v>
          </cell>
          <cell r="H245" t="str">
            <v>Attivo</v>
          </cell>
        </row>
        <row r="246">
          <cell r="A246">
            <v>4516</v>
          </cell>
          <cell r="B246" t="str">
            <v>CENTRO</v>
          </cell>
          <cell r="C246" t="str">
            <v>TOSCANA</v>
          </cell>
          <cell r="D246" t="str">
            <v>MASSA CARRARA</v>
          </cell>
          <cell r="E246" t="str">
            <v>CARRARA</v>
          </cell>
          <cell r="F246" t="str">
            <v>VIA GALILEO GALILEI</v>
          </cell>
          <cell r="G246">
            <v>44862</v>
          </cell>
          <cell r="H246" t="str">
            <v>Attivo</v>
          </cell>
        </row>
        <row r="247">
          <cell r="A247">
            <v>4601</v>
          </cell>
          <cell r="B247" t="str">
            <v>CENTRO</v>
          </cell>
          <cell r="C247" t="str">
            <v>TOSCANA</v>
          </cell>
          <cell r="D247" t="str">
            <v>AREZZO</v>
          </cell>
          <cell r="E247" t="str">
            <v>AREZZO</v>
          </cell>
          <cell r="F247" t="str">
            <v>SS71 KM141+597 S.ANASTASIO LOC.OLMO</v>
          </cell>
          <cell r="G247">
            <v>44183</v>
          </cell>
          <cell r="H247" t="str">
            <v>Attivo</v>
          </cell>
        </row>
        <row r="248">
          <cell r="A248">
            <v>5588</v>
          </cell>
          <cell r="B248" t="str">
            <v>NORD EST</v>
          </cell>
          <cell r="C248" t="str">
            <v>EMILIA-ROMAGNA</v>
          </cell>
          <cell r="D248" t="str">
            <v>BOLOGNA</v>
          </cell>
          <cell r="E248" t="str">
            <v>BOLOGNA</v>
          </cell>
          <cell r="F248" t="str">
            <v>VIA G. DOZZA, 33</v>
          </cell>
          <cell r="G248">
            <v>44642</v>
          </cell>
          <cell r="H248" t="str">
            <v>Attivo</v>
          </cell>
        </row>
        <row r="249">
          <cell r="A249">
            <v>5712</v>
          </cell>
          <cell r="B249" t="str">
            <v>NORD EST</v>
          </cell>
          <cell r="C249" t="str">
            <v>MARCHE</v>
          </cell>
          <cell r="D249" t="str">
            <v>ANCONA</v>
          </cell>
          <cell r="E249" t="str">
            <v>ANCONA</v>
          </cell>
          <cell r="F249" t="str">
            <v>VIA DELLA MONTAGNOLA N.24</v>
          </cell>
          <cell r="G249">
            <v>44769</v>
          </cell>
          <cell r="H249" t="str">
            <v>Attivo</v>
          </cell>
        </row>
        <row r="250">
          <cell r="A250">
            <v>6101</v>
          </cell>
          <cell r="B250" t="str">
            <v>NORD EST</v>
          </cell>
          <cell r="C250" t="str">
            <v>MARCHE</v>
          </cell>
          <cell r="D250" t="str">
            <v>PESARO E URBINO</v>
          </cell>
          <cell r="E250" t="str">
            <v>GABICCE MARE</v>
          </cell>
          <cell r="F250" t="str">
            <v>S.S.16 KM 223+532 LOC.TA' PONTE TAVOLLO  S.N.</v>
          </cell>
          <cell r="G250">
            <v>44712</v>
          </cell>
          <cell r="H250" t="str">
            <v>Attivo</v>
          </cell>
        </row>
        <row r="251">
          <cell r="A251">
            <v>6905</v>
          </cell>
          <cell r="B251" t="str">
            <v>CENTRO</v>
          </cell>
          <cell r="C251" t="str">
            <v>LAZIO</v>
          </cell>
          <cell r="D251" t="str">
            <v>RIETI</v>
          </cell>
          <cell r="E251" t="str">
            <v>RIETI</v>
          </cell>
          <cell r="F251" t="str">
            <v>S.S.4 KM.87+602</v>
          </cell>
          <cell r="G251">
            <v>44253</v>
          </cell>
          <cell r="H251" t="str">
            <v>Attivo</v>
          </cell>
        </row>
        <row r="252">
          <cell r="A252">
            <v>6927</v>
          </cell>
          <cell r="B252" t="str">
            <v>CENTRO</v>
          </cell>
          <cell r="C252" t="str">
            <v>LAZIO</v>
          </cell>
          <cell r="D252" t="str">
            <v>RIETI</v>
          </cell>
          <cell r="E252" t="str">
            <v>MAGLIANO SABINA</v>
          </cell>
          <cell r="F252" t="str">
            <v>AUTOSTRADA A/1 ROMA/FI KM 509</v>
          </cell>
          <cell r="G252">
            <v>45114</v>
          </cell>
          <cell r="H252" t="str">
            <v>Attivo</v>
          </cell>
        </row>
        <row r="253">
          <cell r="A253">
            <v>7084</v>
          </cell>
          <cell r="B253" t="str">
            <v>CENTRO</v>
          </cell>
          <cell r="C253" t="str">
            <v>LAZIO</v>
          </cell>
          <cell r="D253" t="str">
            <v>ROMA</v>
          </cell>
          <cell r="E253" t="str">
            <v>ROMA</v>
          </cell>
          <cell r="F253" t="str">
            <v>VIA TUSCOLANA ANG CAVE, 0432</v>
          </cell>
          <cell r="G253">
            <v>44839</v>
          </cell>
          <cell r="H253" t="str">
            <v>Attivo</v>
          </cell>
        </row>
        <row r="254">
          <cell r="A254">
            <v>7431</v>
          </cell>
          <cell r="B254" t="str">
            <v>CENTRO</v>
          </cell>
          <cell r="C254" t="str">
            <v>UMBRIA</v>
          </cell>
          <cell r="D254" t="str">
            <v>TERNI</v>
          </cell>
          <cell r="E254" t="str">
            <v>ORVIETO</v>
          </cell>
          <cell r="F254" t="str">
            <v>S.S.205 KM.52+330</v>
          </cell>
          <cell r="G254">
            <v>44177</v>
          </cell>
          <cell r="H254" t="str">
            <v>Attivo</v>
          </cell>
        </row>
        <row r="255">
          <cell r="A255">
            <v>8063</v>
          </cell>
          <cell r="B255" t="str">
            <v>SUD</v>
          </cell>
          <cell r="C255" t="str">
            <v>CAMPANIA</v>
          </cell>
          <cell r="D255" t="str">
            <v>NAPOLI</v>
          </cell>
          <cell r="E255" t="str">
            <v>NAPOLI</v>
          </cell>
          <cell r="F255" t="str">
            <v>STADERA POGGIOREALE</v>
          </cell>
          <cell r="G255">
            <v>45056</v>
          </cell>
          <cell r="H255" t="str">
            <v>Attivo</v>
          </cell>
        </row>
        <row r="256">
          <cell r="A256">
            <v>8423</v>
          </cell>
          <cell r="B256" t="str">
            <v>SUD</v>
          </cell>
          <cell r="C256" t="str">
            <v>CAMPANIA</v>
          </cell>
          <cell r="D256" t="str">
            <v>CASERTA</v>
          </cell>
          <cell r="E256" t="str">
            <v>VAIRANO PATENORA</v>
          </cell>
          <cell r="F256" t="str">
            <v>SS 6 KM 172+300</v>
          </cell>
          <cell r="G256">
            <v>44200</v>
          </cell>
          <cell r="H256" t="str">
            <v>Attivo</v>
          </cell>
        </row>
        <row r="257">
          <cell r="A257">
            <v>8964</v>
          </cell>
          <cell r="B257" t="str">
            <v>SUD</v>
          </cell>
          <cell r="C257" t="str">
            <v>CAMPANIA</v>
          </cell>
          <cell r="D257" t="str">
            <v>SALERNO</v>
          </cell>
          <cell r="E257" t="str">
            <v>BATTIPAGLIA</v>
          </cell>
          <cell r="F257" t="str">
            <v>SS 18 KM 72+800</v>
          </cell>
          <cell r="G257">
            <v>44162</v>
          </cell>
          <cell r="H257" t="str">
            <v>Attivo</v>
          </cell>
        </row>
        <row r="258">
          <cell r="A258">
            <v>8970</v>
          </cell>
          <cell r="B258" t="str">
            <v>SUD</v>
          </cell>
          <cell r="C258" t="str">
            <v>CAMPANIA</v>
          </cell>
          <cell r="D258" t="str">
            <v>SALERNO</v>
          </cell>
          <cell r="E258" t="str">
            <v>CAVA DE' TIRRENI</v>
          </cell>
          <cell r="F258" t="str">
            <v>VIALE LIBERTA S S 18</v>
          </cell>
          <cell r="G258">
            <v>44888</v>
          </cell>
          <cell r="H258" t="str">
            <v>Attivo</v>
          </cell>
        </row>
        <row r="259">
          <cell r="A259">
            <v>8979</v>
          </cell>
          <cell r="B259" t="str">
            <v>SUD</v>
          </cell>
          <cell r="C259" t="str">
            <v>CAMPANIA</v>
          </cell>
          <cell r="D259" t="str">
            <v>SALERNO</v>
          </cell>
          <cell r="E259" t="str">
            <v>PADULA</v>
          </cell>
          <cell r="F259" t="str">
            <v>S.S.19 KM.86+200,.  SNC,</v>
          </cell>
          <cell r="G259">
            <v>44980</v>
          </cell>
          <cell r="H259" t="str">
            <v>Attivo</v>
          </cell>
        </row>
        <row r="260">
          <cell r="A260">
            <v>9010</v>
          </cell>
          <cell r="B260" t="str">
            <v>SUD</v>
          </cell>
          <cell r="C260" t="str">
            <v>PUGLIA</v>
          </cell>
          <cell r="D260" t="str">
            <v>BARLETTA ANDRIA TRANI</v>
          </cell>
          <cell r="E260" t="str">
            <v>BARLETTA</v>
          </cell>
          <cell r="F260" t="str">
            <v>S.S.93 PER CANOSA KM.2+746 SN</v>
          </cell>
          <cell r="G260">
            <v>44939</v>
          </cell>
          <cell r="H260" t="str">
            <v>Attivo</v>
          </cell>
        </row>
        <row r="261">
          <cell r="A261">
            <v>9992</v>
          </cell>
          <cell r="B261" t="str">
            <v>SUD</v>
          </cell>
          <cell r="C261" t="str">
            <v>SICILIA</v>
          </cell>
          <cell r="D261" t="str">
            <v>PALERMO</v>
          </cell>
          <cell r="E261" t="str">
            <v>CAMPOFELICE DI ROCCELLA</v>
          </cell>
          <cell r="F261" t="str">
            <v>SS113 KM205 LOCALITA BUON FORNELLO</v>
          </cell>
          <cell r="G261">
            <v>44153</v>
          </cell>
          <cell r="H261" t="str">
            <v>Attivo</v>
          </cell>
        </row>
        <row r="262">
          <cell r="A262">
            <v>11455</v>
          </cell>
          <cell r="B262" t="str">
            <v>NORD OVEST</v>
          </cell>
          <cell r="C262" t="str">
            <v>PIEMONTE</v>
          </cell>
          <cell r="D262" t="str">
            <v>ALESSANDRIA</v>
          </cell>
          <cell r="E262" t="str">
            <v>CASALE MONFERRATO</v>
          </cell>
          <cell r="F262" t="str">
            <v>STR. STATALE 31 KM 22+335</v>
          </cell>
          <cell r="G262">
            <v>44872</v>
          </cell>
          <cell r="H262" t="str">
            <v>Attivo</v>
          </cell>
        </row>
        <row r="263">
          <cell r="A263">
            <v>12082</v>
          </cell>
          <cell r="B263" t="str">
            <v>NORD OVEST</v>
          </cell>
          <cell r="C263" t="str">
            <v>LOMBARDIA</v>
          </cell>
          <cell r="D263" t="str">
            <v>MANTOVA</v>
          </cell>
          <cell r="E263" t="str">
            <v>VIADANA</v>
          </cell>
          <cell r="F263" t="str">
            <v>S.S. 358  KM 22+202</v>
          </cell>
          <cell r="G263">
            <v>45964</v>
          </cell>
          <cell r="H263" t="str">
            <v>Attivo</v>
          </cell>
        </row>
        <row r="264">
          <cell r="A264">
            <v>12112</v>
          </cell>
          <cell r="B264" t="str">
            <v>NORD OVEST</v>
          </cell>
          <cell r="C264" t="str">
            <v>LOMBARDIA</v>
          </cell>
          <cell r="D264" t="str">
            <v>MANTOVA</v>
          </cell>
          <cell r="E264" t="str">
            <v>MANTOVA</v>
          </cell>
          <cell r="F264" t="str">
            <v>VIA FRANCESCO VAINI</v>
          </cell>
          <cell r="G264">
            <v>44851</v>
          </cell>
          <cell r="H264" t="str">
            <v>Attivo</v>
          </cell>
        </row>
        <row r="265">
          <cell r="A265">
            <v>12350</v>
          </cell>
          <cell r="B265" t="str">
            <v>NORD OVEST</v>
          </cell>
          <cell r="C265" t="str">
            <v>LOMBARDIA</v>
          </cell>
          <cell r="D265" t="str">
            <v>MILANO</v>
          </cell>
          <cell r="E265" t="str">
            <v>MILANO</v>
          </cell>
          <cell r="F265" t="str">
            <v>VIA ANTONINI ANGOLO VERRO SNC</v>
          </cell>
          <cell r="G265">
            <v>44174</v>
          </cell>
          <cell r="H265" t="str">
            <v>Attivo</v>
          </cell>
        </row>
        <row r="266">
          <cell r="A266">
            <v>13155</v>
          </cell>
          <cell r="B266" t="str">
            <v>NORD EST</v>
          </cell>
          <cell r="C266" t="str">
            <v>TRENTINO-ALTO ADIGE</v>
          </cell>
          <cell r="D266" t="str">
            <v>BOLZANO</v>
          </cell>
          <cell r="E266" t="str">
            <v>BOLZANO</v>
          </cell>
          <cell r="F266" t="str">
            <v>VIA OLTREADIGE, 20</v>
          </cell>
          <cell r="G266">
            <v>44704</v>
          </cell>
          <cell r="H266" t="str">
            <v>Attivo</v>
          </cell>
        </row>
        <row r="267">
          <cell r="A267">
            <v>15501</v>
          </cell>
          <cell r="B267" t="str">
            <v>NORD EST</v>
          </cell>
          <cell r="C267" t="str">
            <v>EMILIA-ROMAGNA</v>
          </cell>
          <cell r="D267" t="str">
            <v>BOLOGNA</v>
          </cell>
          <cell r="E267" t="str">
            <v>MALALBERGO</v>
          </cell>
          <cell r="F267" t="str">
            <v>S.S. 64 LOCALITA' ALTEDO</v>
          </cell>
          <cell r="G267">
            <v>44881</v>
          </cell>
          <cell r="H267" t="str">
            <v>Attivo</v>
          </cell>
        </row>
        <row r="268">
          <cell r="A268">
            <v>15503</v>
          </cell>
          <cell r="B268" t="str">
            <v>NORD EST</v>
          </cell>
          <cell r="C268" t="str">
            <v>EMILIA-ROMAGNA</v>
          </cell>
          <cell r="D268" t="str">
            <v>BOLOGNA</v>
          </cell>
          <cell r="E268" t="str">
            <v>IMOLA</v>
          </cell>
          <cell r="F268" t="str">
            <v>VIA SELICE KM. 2</v>
          </cell>
          <cell r="G268">
            <v>44846</v>
          </cell>
          <cell r="H268" t="str">
            <v>Attivo</v>
          </cell>
        </row>
        <row r="269">
          <cell r="A269">
            <v>29658</v>
          </cell>
          <cell r="B269" t="str">
            <v>SUD</v>
          </cell>
          <cell r="C269" t="str">
            <v>SICILIA</v>
          </cell>
          <cell r="D269" t="str">
            <v>MESSINA</v>
          </cell>
          <cell r="E269" t="str">
            <v>MESSINA</v>
          </cell>
          <cell r="F269" t="str">
            <v>VIA UMBERTO BONINO, 1</v>
          </cell>
          <cell r="G269">
            <v>44629</v>
          </cell>
          <cell r="H269" t="str">
            <v>Attivo</v>
          </cell>
        </row>
        <row r="270">
          <cell r="A270">
            <v>38047</v>
          </cell>
          <cell r="B270" t="str">
            <v>SUD</v>
          </cell>
          <cell r="C270" t="str">
            <v>PUGLIA</v>
          </cell>
          <cell r="D270" t="str">
            <v>BARI</v>
          </cell>
          <cell r="E270" t="str">
            <v>BARI</v>
          </cell>
          <cell r="F270" t="str">
            <v>SOTTOVIA DUCA DEGLI ABRUZZI</v>
          </cell>
          <cell r="G270">
            <v>44729</v>
          </cell>
          <cell r="H270" t="str">
            <v>Attivo</v>
          </cell>
        </row>
        <row r="271">
          <cell r="A271">
            <v>51274</v>
          </cell>
          <cell r="B271" t="str">
            <v>NORD OVEST</v>
          </cell>
          <cell r="C271" t="str">
            <v>PIEMONTE</v>
          </cell>
          <cell r="D271" t="str">
            <v>TORINO</v>
          </cell>
          <cell r="E271" t="str">
            <v>CHIVASSO</v>
          </cell>
          <cell r="F271" t="str">
            <v>SS 11 KM 25+300</v>
          </cell>
          <cell r="G271">
            <v>44833</v>
          </cell>
          <cell r="H271" t="str">
            <v>Attivo</v>
          </cell>
        </row>
        <row r="272">
          <cell r="A272">
            <v>51832</v>
          </cell>
          <cell r="B272" t="str">
            <v>NORD OVEST</v>
          </cell>
          <cell r="C272" t="str">
            <v>LOMBARDIA</v>
          </cell>
          <cell r="D272" t="str">
            <v>LECCO</v>
          </cell>
          <cell r="E272" t="str">
            <v>OSNAGO</v>
          </cell>
          <cell r="F272" t="str">
            <v>SS 36 KM 30+083</v>
          </cell>
          <cell r="G272">
            <v>44686</v>
          </cell>
          <cell r="H272" t="str">
            <v>Attivo</v>
          </cell>
        </row>
        <row r="273">
          <cell r="A273">
            <v>53676</v>
          </cell>
          <cell r="B273" t="str">
            <v>CENTRO</v>
          </cell>
          <cell r="C273" t="str">
            <v>TOSCANA</v>
          </cell>
          <cell r="D273" t="str">
            <v>LIVORNO</v>
          </cell>
          <cell r="E273" t="str">
            <v>PIOMBINO</v>
          </cell>
          <cell r="F273" t="str">
            <v>VIALE UNITA' D'ITALIA 121</v>
          </cell>
          <cell r="G273">
            <v>44096</v>
          </cell>
          <cell r="H273" t="str">
            <v>Attivo</v>
          </cell>
        </row>
        <row r="274">
          <cell r="A274">
            <v>54615</v>
          </cell>
          <cell r="B274" t="str">
            <v>SUD</v>
          </cell>
          <cell r="C274" t="str">
            <v>CAMPANIA</v>
          </cell>
          <cell r="D274" t="str">
            <v>CASERTA</v>
          </cell>
          <cell r="E274" t="str">
            <v>MADDALONI</v>
          </cell>
          <cell r="F274" t="str">
            <v>VIA NAZIONALE MONTEDECORO</v>
          </cell>
          <cell r="G274">
            <v>44704</v>
          </cell>
          <cell r="H274" t="str">
            <v>Attivo</v>
          </cell>
        </row>
        <row r="275">
          <cell r="A275">
            <v>54638</v>
          </cell>
          <cell r="B275" t="str">
            <v>CENTRO</v>
          </cell>
          <cell r="C275" t="str">
            <v>LAZIO</v>
          </cell>
          <cell r="D275" t="str">
            <v>VITERBO</v>
          </cell>
          <cell r="E275" t="str">
            <v>VITERBO</v>
          </cell>
          <cell r="F275" t="str">
            <v>TANGENZIALE OVEST N 15</v>
          </cell>
          <cell r="G275">
            <v>44258</v>
          </cell>
          <cell r="H275" t="str">
            <v>Attivo</v>
          </cell>
        </row>
        <row r="276">
          <cell r="A276">
            <v>54798</v>
          </cell>
          <cell r="B276" t="str">
            <v>SUD</v>
          </cell>
          <cell r="C276" t="str">
            <v>PUGLIA</v>
          </cell>
          <cell r="D276" t="str">
            <v>BARI</v>
          </cell>
          <cell r="E276" t="str">
            <v>BARI</v>
          </cell>
          <cell r="F276" t="str">
            <v>BRUNO BUOZZI N</v>
          </cell>
          <cell r="G276">
            <v>44720</v>
          </cell>
          <cell r="H276" t="str">
            <v>Attivo</v>
          </cell>
        </row>
        <row r="277">
          <cell r="A277">
            <v>55456</v>
          </cell>
          <cell r="B277" t="str">
            <v>SUD</v>
          </cell>
          <cell r="C277" t="str">
            <v>CAMPANIA</v>
          </cell>
          <cell r="D277" t="str">
            <v>NAPOLI</v>
          </cell>
          <cell r="E277" t="str">
            <v>NAPOLI</v>
          </cell>
          <cell r="F277" t="str">
            <v>MARIANO SEMMOLA 25</v>
          </cell>
          <cell r="G277">
            <v>44706</v>
          </cell>
          <cell r="H277" t="str">
            <v>Attivo</v>
          </cell>
        </row>
        <row r="278">
          <cell r="A278">
            <v>55471</v>
          </cell>
          <cell r="B278" t="str">
            <v>NORD EST</v>
          </cell>
          <cell r="C278" t="str">
            <v>VENETO</v>
          </cell>
          <cell r="D278" t="str">
            <v>PADOVA</v>
          </cell>
          <cell r="E278" t="str">
            <v>LEGNARO</v>
          </cell>
          <cell r="F278" t="str">
            <v>ROMEA 21</v>
          </cell>
          <cell r="G278">
            <v>44712</v>
          </cell>
          <cell r="H278" t="str">
            <v>Attivo</v>
          </cell>
        </row>
        <row r="279">
          <cell r="A279">
            <v>55491</v>
          </cell>
          <cell r="B279" t="str">
            <v>CENTRO</v>
          </cell>
          <cell r="C279" t="str">
            <v>TOSCANA</v>
          </cell>
          <cell r="D279" t="str">
            <v>LUCCA</v>
          </cell>
          <cell r="E279" t="str">
            <v>BORGO A MOZZANO</v>
          </cell>
          <cell r="F279" t="str">
            <v>VIA LUDOVICA</v>
          </cell>
          <cell r="G279">
            <v>46069</v>
          </cell>
          <cell r="H279" t="str">
            <v>Attivo</v>
          </cell>
        </row>
        <row r="280">
          <cell r="A280">
            <v>55496</v>
          </cell>
          <cell r="B280" t="str">
            <v>NORD OVEST</v>
          </cell>
          <cell r="C280" t="str">
            <v>LOMBARDIA</v>
          </cell>
          <cell r="D280" t="str">
            <v>BERGAMO</v>
          </cell>
          <cell r="E280" t="str">
            <v>MOZZO</v>
          </cell>
          <cell r="F280" t="str">
            <v>SS 470 KM 5 0000</v>
          </cell>
          <cell r="G280">
            <v>44216</v>
          </cell>
          <cell r="H280" t="str">
            <v>Attivo</v>
          </cell>
        </row>
        <row r="281">
          <cell r="A281">
            <v>55827</v>
          </cell>
          <cell r="B281" t="str">
            <v>NORD OVEST</v>
          </cell>
          <cell r="C281" t="str">
            <v>PIEMONTE</v>
          </cell>
          <cell r="D281" t="str">
            <v>TORINO</v>
          </cell>
          <cell r="E281" t="str">
            <v>TORINO</v>
          </cell>
          <cell r="F281" t="str">
            <v>VIA ALTESSANO 158</v>
          </cell>
          <cell r="G281">
            <v>44889</v>
          </cell>
          <cell r="H281" t="str">
            <v>Attivo</v>
          </cell>
        </row>
        <row r="282">
          <cell r="A282">
            <v>56033</v>
          </cell>
          <cell r="B282" t="str">
            <v>NORD EST</v>
          </cell>
          <cell r="C282" t="str">
            <v>VENETO</v>
          </cell>
          <cell r="D282" t="str">
            <v>TREVISO</v>
          </cell>
          <cell r="E282" t="str">
            <v>CASTELFRANCO VENETO</v>
          </cell>
          <cell r="F282" t="str">
            <v>VIA CIRCONVALLAZIONE EST 85</v>
          </cell>
          <cell r="G282">
            <v>44043</v>
          </cell>
          <cell r="H282" t="str">
            <v>Attivo</v>
          </cell>
        </row>
        <row r="283">
          <cell r="A283">
            <v>56055</v>
          </cell>
          <cell r="B283" t="str">
            <v>NORD OVEST</v>
          </cell>
          <cell r="C283" t="str">
            <v>LOMBARDIA</v>
          </cell>
          <cell r="D283" t="str">
            <v>MILANO</v>
          </cell>
          <cell r="E283" t="str">
            <v>MILANO</v>
          </cell>
          <cell r="F283" t="str">
            <v>PL LOTTO 14/A ANG VI ELIA</v>
          </cell>
          <cell r="G283">
            <v>44852</v>
          </cell>
          <cell r="H283" t="str">
            <v>Attivo</v>
          </cell>
        </row>
        <row r="284">
          <cell r="A284">
            <v>56553</v>
          </cell>
          <cell r="B284" t="str">
            <v>SUD</v>
          </cell>
          <cell r="C284" t="str">
            <v>SICILIA</v>
          </cell>
          <cell r="D284" t="str">
            <v>CATANIA</v>
          </cell>
          <cell r="E284" t="str">
            <v>ACIREALE</v>
          </cell>
          <cell r="F284" t="str">
            <v>NAZIONALE 102 PER CATANIA</v>
          </cell>
          <cell r="G284">
            <v>44622</v>
          </cell>
          <cell r="H284" t="str">
            <v>Attivo</v>
          </cell>
        </row>
        <row r="285">
          <cell r="A285">
            <v>56612</v>
          </cell>
          <cell r="B285" t="str">
            <v>NORD OVEST</v>
          </cell>
          <cell r="C285" t="str">
            <v>LOMBARDIA</v>
          </cell>
          <cell r="D285" t="str">
            <v>SONDRIO</v>
          </cell>
          <cell r="E285" t="str">
            <v>PIANTEDO</v>
          </cell>
          <cell r="F285" t="str">
            <v>VIA NAZIONALE 1146</v>
          </cell>
          <cell r="G285">
            <v>44233</v>
          </cell>
          <cell r="H285" t="str">
            <v>Attivo</v>
          </cell>
        </row>
        <row r="286">
          <cell r="A286">
            <v>57176</v>
          </cell>
          <cell r="B286" t="str">
            <v>CENTRO</v>
          </cell>
          <cell r="C286" t="str">
            <v>LAZIO</v>
          </cell>
          <cell r="D286" t="str">
            <v>ROMA</v>
          </cell>
          <cell r="E286" t="str">
            <v>ROMA</v>
          </cell>
          <cell r="F286" t="str">
            <v>VIA CASILINA KM 12+943, 1423</v>
          </cell>
          <cell r="G286">
            <v>45750</v>
          </cell>
          <cell r="H286" t="str">
            <v>Attivo</v>
          </cell>
        </row>
        <row r="287">
          <cell r="A287">
            <v>57602</v>
          </cell>
          <cell r="B287" t="str">
            <v>NORD EST</v>
          </cell>
          <cell r="C287" t="str">
            <v>EMILIA-ROMAGNA</v>
          </cell>
          <cell r="D287" t="str">
            <v>RAVENNA</v>
          </cell>
          <cell r="E287" t="str">
            <v>FAENZA</v>
          </cell>
          <cell r="F287" t="str">
            <v>GRANAROLO, 177</v>
          </cell>
          <cell r="G287">
            <v>44860</v>
          </cell>
          <cell r="H287" t="str">
            <v>Attivo</v>
          </cell>
        </row>
        <row r="288">
          <cell r="A288">
            <v>58258</v>
          </cell>
          <cell r="B288" t="str">
            <v>CENTRO</v>
          </cell>
          <cell r="C288" t="str">
            <v>LAZIO</v>
          </cell>
          <cell r="D288" t="str">
            <v>ROMA</v>
          </cell>
          <cell r="E288" t="str">
            <v>ROMA</v>
          </cell>
          <cell r="F288" t="str">
            <v>VIA NOMENTANA, 850</v>
          </cell>
          <cell r="G288">
            <v>44734</v>
          </cell>
          <cell r="H288" t="str">
            <v>Attivo</v>
          </cell>
        </row>
        <row r="289">
          <cell r="A289">
            <v>59131</v>
          </cell>
          <cell r="B289" t="str">
            <v>NORD EST</v>
          </cell>
          <cell r="C289" t="str">
            <v>VENETO</v>
          </cell>
          <cell r="D289" t="str">
            <v>BELLUNO</v>
          </cell>
          <cell r="E289" t="str">
            <v>BELLUNO</v>
          </cell>
          <cell r="F289" t="str">
            <v>VIA VITTORIO VENETO</v>
          </cell>
          <cell r="G289">
            <v>44900</v>
          </cell>
          <cell r="H289" t="str">
            <v>Attivo</v>
          </cell>
        </row>
        <row r="290">
          <cell r="A290">
            <v>460</v>
          </cell>
          <cell r="B290" t="str">
            <v>NORD OVEST</v>
          </cell>
          <cell r="C290" t="str">
            <v>PIEMONTE</v>
          </cell>
          <cell r="D290" t="str">
            <v>NOVARA</v>
          </cell>
          <cell r="E290" t="str">
            <v>TRECATE</v>
          </cell>
          <cell r="F290" t="str">
            <v>TRECATE</v>
          </cell>
          <cell r="G290">
            <v>45822</v>
          </cell>
          <cell r="H290" t="str">
            <v>Attivo</v>
          </cell>
        </row>
        <row r="291">
          <cell r="A291">
            <v>494</v>
          </cell>
          <cell r="B291" t="str">
            <v>NORD OVEST</v>
          </cell>
          <cell r="C291" t="str">
            <v>PIEMONTE</v>
          </cell>
          <cell r="D291" t="str">
            <v>NOVARA</v>
          </cell>
          <cell r="E291" t="str">
            <v>CAMERI</v>
          </cell>
          <cell r="F291" t="str">
            <v>VIALE MARCONI 64</v>
          </cell>
          <cell r="G291">
            <v>44081</v>
          </cell>
          <cell r="H291" t="str">
            <v>Attivo</v>
          </cell>
        </row>
        <row r="292">
          <cell r="A292">
            <v>591</v>
          </cell>
          <cell r="B292" t="str">
            <v>NORD OVEST</v>
          </cell>
          <cell r="C292" t="str">
            <v>PIEMONTE</v>
          </cell>
          <cell r="D292" t="str">
            <v>TORINO</v>
          </cell>
          <cell r="E292" t="str">
            <v>TORINO</v>
          </cell>
          <cell r="F292" t="str">
            <v>VIA BOTTICELLI 62/A - VIA BOTTICELLI ADIACENTE 60 62/A</v>
          </cell>
          <cell r="G292">
            <v>44074</v>
          </cell>
          <cell r="H292" t="str">
            <v>Attivo</v>
          </cell>
        </row>
        <row r="293">
          <cell r="A293">
            <v>635</v>
          </cell>
          <cell r="B293" t="str">
            <v>NORD OVEST</v>
          </cell>
          <cell r="C293" t="str">
            <v>PIEMONTE</v>
          </cell>
          <cell r="D293" t="str">
            <v>TORINO</v>
          </cell>
          <cell r="E293" t="str">
            <v>SETTIMO TORINESE</v>
          </cell>
          <cell r="F293" t="str">
            <v>VIA TORINO 116</v>
          </cell>
          <cell r="G293">
            <v>44176</v>
          </cell>
          <cell r="H293" t="str">
            <v>Attivo</v>
          </cell>
        </row>
        <row r="294">
          <cell r="A294">
            <v>836</v>
          </cell>
          <cell r="B294" t="str">
            <v>NORD OVEST</v>
          </cell>
          <cell r="C294" t="str">
            <v>PIEMONTE</v>
          </cell>
          <cell r="D294" t="str">
            <v>TORINO</v>
          </cell>
          <cell r="E294" t="str">
            <v>CHIERI</v>
          </cell>
          <cell r="F294" t="str">
            <v>S.S. 10 AL KM 14+400 - CORSO TORINO 45</v>
          </cell>
          <cell r="G294">
            <v>44839</v>
          </cell>
          <cell r="H294" t="str">
            <v>Attivo</v>
          </cell>
        </row>
        <row r="295">
          <cell r="A295">
            <v>974</v>
          </cell>
          <cell r="B295" t="str">
            <v>NORD OVEST</v>
          </cell>
          <cell r="C295" t="str">
            <v>PIEMONTE</v>
          </cell>
          <cell r="D295" t="str">
            <v>TORINO</v>
          </cell>
          <cell r="E295" t="str">
            <v>BEINASCO</v>
          </cell>
          <cell r="F295" t="str">
            <v>TANG.TO SUD-RACC. DROSSO</v>
          </cell>
          <cell r="G295">
            <v>44062</v>
          </cell>
          <cell r="H295" t="str">
            <v>Attivo</v>
          </cell>
        </row>
        <row r="296">
          <cell r="A296">
            <v>1007</v>
          </cell>
          <cell r="B296" t="str">
            <v>NORD OVEST</v>
          </cell>
          <cell r="C296" t="str">
            <v>LIGURIA</v>
          </cell>
          <cell r="D296" t="str">
            <v>GENOVA</v>
          </cell>
          <cell r="E296" t="str">
            <v>CHIAVARI</v>
          </cell>
          <cell r="F296" t="str">
            <v>CORSO GENOVA 40</v>
          </cell>
          <cell r="G296">
            <v>44183</v>
          </cell>
          <cell r="H296" t="str">
            <v>Attivo</v>
          </cell>
        </row>
        <row r="297">
          <cell r="A297">
            <v>1008</v>
          </cell>
          <cell r="B297" t="str">
            <v>NORD OVEST</v>
          </cell>
          <cell r="C297" t="str">
            <v>LIGURIA</v>
          </cell>
          <cell r="D297" t="str">
            <v>GENOVA</v>
          </cell>
          <cell r="E297" t="str">
            <v>GENOVA</v>
          </cell>
          <cell r="F297" t="str">
            <v>VIA FERRIERE BRUZZO 13</v>
          </cell>
          <cell r="G297">
            <v>44238</v>
          </cell>
          <cell r="H297" t="str">
            <v>Attivo</v>
          </cell>
        </row>
        <row r="298">
          <cell r="A298">
            <v>1086</v>
          </cell>
          <cell r="B298" t="str">
            <v>NORD OVEST</v>
          </cell>
          <cell r="C298" t="str">
            <v>LIGURIA</v>
          </cell>
          <cell r="D298" t="str">
            <v>GENOVA</v>
          </cell>
          <cell r="E298" t="str">
            <v>RECCO</v>
          </cell>
          <cell r="F298" t="str">
            <v>VIA ROMA</v>
          </cell>
          <cell r="G298">
            <v>44860</v>
          </cell>
          <cell r="H298" t="str">
            <v>Attivo</v>
          </cell>
        </row>
        <row r="299">
          <cell r="A299">
            <v>1135</v>
          </cell>
          <cell r="B299" t="str">
            <v>NORD OVEST</v>
          </cell>
          <cell r="C299" t="str">
            <v>LIGURIA</v>
          </cell>
          <cell r="D299" t="str">
            <v>GENOVA</v>
          </cell>
          <cell r="E299" t="str">
            <v>GENOVA</v>
          </cell>
          <cell r="F299" t="str">
            <v>VIA SIFFREDI, 62</v>
          </cell>
          <cell r="G299">
            <v>44802</v>
          </cell>
          <cell r="H299" t="str">
            <v>Attivo</v>
          </cell>
        </row>
        <row r="300">
          <cell r="A300">
            <v>1280</v>
          </cell>
          <cell r="B300" t="str">
            <v>NORD OVEST</v>
          </cell>
          <cell r="C300" t="str">
            <v>LIGURIA</v>
          </cell>
          <cell r="D300" t="str">
            <v>LA SPEZIA</v>
          </cell>
          <cell r="E300" t="str">
            <v>LA SPEZIA</v>
          </cell>
          <cell r="F300" t="str">
            <v>VIALE ITALIA 160</v>
          </cell>
          <cell r="G300">
            <v>44144</v>
          </cell>
          <cell r="H300" t="str">
            <v>Attivo</v>
          </cell>
        </row>
        <row r="301">
          <cell r="A301">
            <v>1288</v>
          </cell>
          <cell r="B301" t="str">
            <v>NORD OVEST</v>
          </cell>
          <cell r="C301" t="str">
            <v>LIGURIA</v>
          </cell>
          <cell r="D301" t="str">
            <v>LA SPEZIA</v>
          </cell>
          <cell r="E301" t="str">
            <v>BOLANO</v>
          </cell>
          <cell r="F301" t="str">
            <v>VIA CISA 50</v>
          </cell>
          <cell r="G301">
            <v>44221</v>
          </cell>
          <cell r="H301" t="str">
            <v>Attivo</v>
          </cell>
        </row>
        <row r="302">
          <cell r="A302">
            <v>1334</v>
          </cell>
          <cell r="B302" t="str">
            <v>NORD OVEST</v>
          </cell>
          <cell r="C302" t="str">
            <v>LIGURIA</v>
          </cell>
          <cell r="D302" t="str">
            <v>SAVONA</v>
          </cell>
          <cell r="E302" t="str">
            <v>FINALE LIGURE</v>
          </cell>
          <cell r="F302" t="str">
            <v>VIA MAZZINI</v>
          </cell>
          <cell r="G302">
            <v>44693</v>
          </cell>
          <cell r="H302" t="str">
            <v>Attivo</v>
          </cell>
        </row>
        <row r="303">
          <cell r="A303">
            <v>1378</v>
          </cell>
          <cell r="B303" t="str">
            <v>NORD OVEST</v>
          </cell>
          <cell r="C303" t="str">
            <v>LIGURIA</v>
          </cell>
          <cell r="D303" t="str">
            <v>SAVONA</v>
          </cell>
          <cell r="E303" t="str">
            <v>CARCARE</v>
          </cell>
          <cell r="F303" t="str">
            <v>VIA VITTORIO VENETO 52</v>
          </cell>
          <cell r="G303">
            <v>44279</v>
          </cell>
          <cell r="H303" t="str">
            <v>Attivo</v>
          </cell>
        </row>
        <row r="304">
          <cell r="A304">
            <v>1844</v>
          </cell>
          <cell r="B304" t="str">
            <v>NORD OVEST</v>
          </cell>
          <cell r="C304" t="str">
            <v>LOMBARDIA</v>
          </cell>
          <cell r="D304" t="str">
            <v>COMO</v>
          </cell>
          <cell r="E304" t="str">
            <v>FINO MORNASCO</v>
          </cell>
          <cell r="F304" t="str">
            <v>VIA GARIBALDI 197</v>
          </cell>
          <cell r="G304">
            <v>44686</v>
          </cell>
          <cell r="H304" t="str">
            <v>Attivo</v>
          </cell>
        </row>
        <row r="305">
          <cell r="A305">
            <v>2705</v>
          </cell>
          <cell r="B305" t="str">
            <v>NORD EST</v>
          </cell>
          <cell r="C305" t="str">
            <v>EMILIA-ROMAGNA</v>
          </cell>
          <cell r="D305" t="str">
            <v>PIACENZA</v>
          </cell>
          <cell r="E305" t="str">
            <v>PODENZANO</v>
          </cell>
          <cell r="F305" t="str">
            <v>VIA PAPA GIOVANNI XXIII</v>
          </cell>
          <cell r="G305">
            <v>44148</v>
          </cell>
          <cell r="H305" t="str">
            <v>Attivo</v>
          </cell>
        </row>
        <row r="306">
          <cell r="A306">
            <v>3610</v>
          </cell>
          <cell r="B306" t="str">
            <v>NORD EST</v>
          </cell>
          <cell r="C306" t="str">
            <v>VENETO</v>
          </cell>
          <cell r="D306" t="str">
            <v>TREVISO</v>
          </cell>
          <cell r="E306" t="str">
            <v>MONTEBELLUNA</v>
          </cell>
          <cell r="F306" t="str">
            <v>VIA BASSANESE, 58</v>
          </cell>
          <cell r="G306">
            <v>45638</v>
          </cell>
          <cell r="H306" t="str">
            <v>Disattivo</v>
          </cell>
        </row>
        <row r="307">
          <cell r="A307">
            <v>3775</v>
          </cell>
          <cell r="B307" t="str">
            <v>NORD EST</v>
          </cell>
          <cell r="C307" t="str">
            <v>VENETO</v>
          </cell>
          <cell r="D307" t="str">
            <v>VERONA</v>
          </cell>
          <cell r="E307" t="str">
            <v>SAN GIOVANNI LUPATOTO</v>
          </cell>
          <cell r="F307" t="str">
            <v>VIA GAROFOLI N. 270</v>
          </cell>
          <cell r="G307">
            <v>45703</v>
          </cell>
          <cell r="H307" t="str">
            <v>Attivo</v>
          </cell>
        </row>
        <row r="308">
          <cell r="A308">
            <v>3793</v>
          </cell>
          <cell r="B308" t="str">
            <v>NORD EST</v>
          </cell>
          <cell r="C308" t="str">
            <v>VENETO</v>
          </cell>
          <cell r="D308" t="str">
            <v>VERONA</v>
          </cell>
          <cell r="E308" t="str">
            <v>BUSSOLENGO</v>
          </cell>
          <cell r="F308" t="str">
            <v>VIA GARDESANA 25</v>
          </cell>
          <cell r="G308">
            <v>44851</v>
          </cell>
          <cell r="H308" t="str">
            <v>Attivo</v>
          </cell>
        </row>
        <row r="309">
          <cell r="A309">
            <v>3817</v>
          </cell>
          <cell r="B309" t="str">
            <v>NORD EST</v>
          </cell>
          <cell r="C309" t="str">
            <v>VENETO</v>
          </cell>
          <cell r="D309" t="str">
            <v>VERONA</v>
          </cell>
          <cell r="E309" t="str">
            <v>PESCHIERA DEL GARDA</v>
          </cell>
          <cell r="F309" t="str">
            <v>VIA VENEZIA 76</v>
          </cell>
          <cell r="G309">
            <v>44146</v>
          </cell>
          <cell r="H309" t="str">
            <v>Attivo</v>
          </cell>
        </row>
        <row r="310">
          <cell r="A310">
            <v>3853</v>
          </cell>
          <cell r="B310" t="str">
            <v>NORD EST</v>
          </cell>
          <cell r="C310" t="str">
            <v>VENETO</v>
          </cell>
          <cell r="D310" t="str">
            <v>VERONA</v>
          </cell>
          <cell r="E310" t="str">
            <v>VERONA</v>
          </cell>
          <cell r="F310" t="str">
            <v>VIA FARINATA DEGLI UBERTI 16</v>
          </cell>
          <cell r="G310">
            <v>45965</v>
          </cell>
          <cell r="H310" t="str">
            <v>Attivo</v>
          </cell>
        </row>
        <row r="311">
          <cell r="A311">
            <v>3965</v>
          </cell>
          <cell r="B311" t="str">
            <v>NORD EST</v>
          </cell>
          <cell r="C311" t="str">
            <v>VENETO</v>
          </cell>
          <cell r="D311" t="str">
            <v>VICENZA</v>
          </cell>
          <cell r="E311" t="str">
            <v>THIENE</v>
          </cell>
          <cell r="F311" t="str">
            <v>VIA MARCONI 123/A</v>
          </cell>
          <cell r="G311">
            <v>45993</v>
          </cell>
          <cell r="H311" t="str">
            <v>Attivo</v>
          </cell>
        </row>
        <row r="312">
          <cell r="A312">
            <v>3979</v>
          </cell>
          <cell r="B312" t="str">
            <v>NORD EST</v>
          </cell>
          <cell r="C312" t="str">
            <v>VENETO</v>
          </cell>
          <cell r="D312" t="str">
            <v>VICENZA</v>
          </cell>
          <cell r="E312" t="str">
            <v>VICENZA</v>
          </cell>
          <cell r="F312" t="str">
            <v>VIA TRIESTE</v>
          </cell>
          <cell r="G312">
            <v>44840</v>
          </cell>
          <cell r="H312" t="str">
            <v>Attivo</v>
          </cell>
        </row>
        <row r="313">
          <cell r="A313">
            <v>4131</v>
          </cell>
          <cell r="B313" t="str">
            <v>NORD EST</v>
          </cell>
          <cell r="C313" t="str">
            <v>FRIULI VENEZIA GIULIA</v>
          </cell>
          <cell r="D313" t="str">
            <v>GORIZIA</v>
          </cell>
          <cell r="E313" t="str">
            <v>MONFALCONE</v>
          </cell>
          <cell r="F313" t="str">
            <v>VIA VALENTINIS, SS 14 61</v>
          </cell>
          <cell r="G313">
            <v>44707</v>
          </cell>
          <cell r="H313" t="str">
            <v>Attivo</v>
          </cell>
        </row>
        <row r="314">
          <cell r="A314">
            <v>4677</v>
          </cell>
          <cell r="B314" t="str">
            <v>CENTRO</v>
          </cell>
          <cell r="C314" t="str">
            <v>TOSCANA</v>
          </cell>
          <cell r="D314" t="str">
            <v>AREZZO</v>
          </cell>
          <cell r="E314" t="str">
            <v>AREZZO</v>
          </cell>
          <cell r="F314" t="str">
            <v>S.S. 71, KM. 151 LOC.CECILIANO</v>
          </cell>
          <cell r="G314">
            <v>44855</v>
          </cell>
          <cell r="H314" t="str">
            <v>Attivo</v>
          </cell>
        </row>
        <row r="315">
          <cell r="A315">
            <v>5099</v>
          </cell>
          <cell r="B315" t="str">
            <v>CENTRO</v>
          </cell>
          <cell r="C315" t="str">
            <v>TOSCANA</v>
          </cell>
          <cell r="D315" t="str">
            <v>LIVORNO</v>
          </cell>
          <cell r="E315" t="str">
            <v>COLLESALVETTI</v>
          </cell>
          <cell r="F315" t="str">
            <v>S.G.C. FI/PI/LI LOC.GRECCIANO SUD 64</v>
          </cell>
          <cell r="G315">
            <v>44182</v>
          </cell>
          <cell r="H315" t="str">
            <v>Attivo</v>
          </cell>
        </row>
        <row r="316">
          <cell r="A316">
            <v>5290</v>
          </cell>
          <cell r="B316" t="str">
            <v>CENTRO</v>
          </cell>
          <cell r="C316" t="str">
            <v>TOSCANA</v>
          </cell>
          <cell r="D316" t="str">
            <v>PISA</v>
          </cell>
          <cell r="E316" t="str">
            <v>PONTEDERA</v>
          </cell>
          <cell r="F316" t="str">
            <v>S.G.C. FIPILI KM 52,800 - LOC. CURIGLIANO</v>
          </cell>
          <cell r="G316">
            <v>44070</v>
          </cell>
          <cell r="H316" t="str">
            <v>Attivo</v>
          </cell>
        </row>
        <row r="317">
          <cell r="A317">
            <v>5543</v>
          </cell>
          <cell r="B317" t="str">
            <v>NORD EST</v>
          </cell>
          <cell r="C317" t="str">
            <v>EMILIA-ROMAGNA</v>
          </cell>
          <cell r="D317" t="str">
            <v>BOLOGNA</v>
          </cell>
          <cell r="E317" t="str">
            <v>SASSO MARCONI</v>
          </cell>
          <cell r="F317" t="str">
            <v>VIA KENNEDY 7</v>
          </cell>
          <cell r="G317">
            <v>44158</v>
          </cell>
          <cell r="H317" t="str">
            <v>Attivo</v>
          </cell>
        </row>
        <row r="318">
          <cell r="A318">
            <v>5625</v>
          </cell>
          <cell r="B318" t="str">
            <v>NORD EST</v>
          </cell>
          <cell r="C318" t="str">
            <v>EMILIA-ROMAGNA</v>
          </cell>
          <cell r="D318" t="str">
            <v>RAVENNA</v>
          </cell>
          <cell r="E318" t="str">
            <v>RAVENNA</v>
          </cell>
          <cell r="F318" t="str">
            <v>VIA RAVEGNANA,  329</v>
          </cell>
          <cell r="G318">
            <v>44991</v>
          </cell>
          <cell r="H318" t="str">
            <v>Attivo</v>
          </cell>
        </row>
        <row r="319">
          <cell r="A319">
            <v>5766</v>
          </cell>
          <cell r="B319" t="str">
            <v>NORD EST</v>
          </cell>
          <cell r="C319" t="str">
            <v>MARCHE</v>
          </cell>
          <cell r="D319" t="str">
            <v>ANCONA</v>
          </cell>
          <cell r="E319" t="str">
            <v>FABRIANO</v>
          </cell>
          <cell r="F319" t="str">
            <v>PROV.LE ARCEVIESE</v>
          </cell>
          <cell r="G319">
            <v>44872</v>
          </cell>
          <cell r="H319" t="str">
            <v>Attivo</v>
          </cell>
        </row>
        <row r="320">
          <cell r="A320">
            <v>5982</v>
          </cell>
          <cell r="B320" t="str">
            <v>NORD EST</v>
          </cell>
          <cell r="C320" t="str">
            <v>EMILIA-ROMAGNA</v>
          </cell>
          <cell r="D320" t="str">
            <v>RIMINI</v>
          </cell>
          <cell r="E320" t="str">
            <v>RIMINI</v>
          </cell>
          <cell r="F320" t="str">
            <v>MARECCHIESE LOC SPAD</v>
          </cell>
          <cell r="G320">
            <v>44711</v>
          </cell>
          <cell r="H320" t="str">
            <v>Attivo</v>
          </cell>
        </row>
        <row r="321">
          <cell r="A321">
            <v>6363</v>
          </cell>
          <cell r="B321" t="str">
            <v>NORD EST</v>
          </cell>
          <cell r="C321" t="str">
            <v>EMILIA-ROMAGNA</v>
          </cell>
          <cell r="D321" t="str">
            <v>MODENA</v>
          </cell>
          <cell r="E321" t="str">
            <v>BOMPORTO</v>
          </cell>
          <cell r="F321" t="str">
            <v>VIA GORGHETTO, 2</v>
          </cell>
          <cell r="G321">
            <v>45604</v>
          </cell>
          <cell r="H321" t="str">
            <v>Attivo</v>
          </cell>
        </row>
        <row r="322">
          <cell r="A322">
            <v>6403</v>
          </cell>
          <cell r="B322" t="str">
            <v>NORD EST</v>
          </cell>
          <cell r="C322" t="str">
            <v>EMILIA-ROMAGNA</v>
          </cell>
          <cell r="D322" t="str">
            <v>REGGIO EMILIA</v>
          </cell>
          <cell r="E322" t="str">
            <v>GUASTALLA</v>
          </cell>
          <cell r="F322" t="str">
            <v>VIA CISA LIGURE 10</v>
          </cell>
          <cell r="G322">
            <v>44875</v>
          </cell>
          <cell r="H322" t="str">
            <v>Attivo</v>
          </cell>
        </row>
        <row r="323">
          <cell r="A323">
            <v>6669</v>
          </cell>
          <cell r="B323" t="str">
            <v>CENTRO</v>
          </cell>
          <cell r="C323" t="str">
            <v>LAZIO</v>
          </cell>
          <cell r="D323" t="str">
            <v>FROSINONE</v>
          </cell>
          <cell r="E323" t="str">
            <v>ANAGNI</v>
          </cell>
          <cell r="F323" t="str">
            <v>RACCORDO AUTOSOLE</v>
          </cell>
          <cell r="G323">
            <v>44691</v>
          </cell>
          <cell r="H323" t="str">
            <v>Attivo</v>
          </cell>
        </row>
        <row r="324">
          <cell r="A324">
            <v>6711</v>
          </cell>
          <cell r="B324" t="str">
            <v>CENTRO</v>
          </cell>
          <cell r="C324" t="str">
            <v>LAZIO</v>
          </cell>
          <cell r="D324" t="str">
            <v>LATINA</v>
          </cell>
          <cell r="E324" t="str">
            <v>TERRACINA</v>
          </cell>
          <cell r="F324" t="str">
            <v>VIA ROMA SNC</v>
          </cell>
          <cell r="G324">
            <v>44354</v>
          </cell>
          <cell r="H324" t="str">
            <v>Attivo</v>
          </cell>
        </row>
        <row r="325">
          <cell r="A325">
            <v>6725</v>
          </cell>
          <cell r="B325" t="str">
            <v>CENTRO</v>
          </cell>
          <cell r="C325" t="str">
            <v>LAZIO</v>
          </cell>
          <cell r="D325" t="str">
            <v>LATINA</v>
          </cell>
          <cell r="E325" t="str">
            <v>LATINA</v>
          </cell>
          <cell r="F325" t="str">
            <v>ISONZO</v>
          </cell>
          <cell r="G325">
            <v>44907</v>
          </cell>
          <cell r="H325" t="str">
            <v>Attivo</v>
          </cell>
        </row>
        <row r="326">
          <cell r="A326">
            <v>6761</v>
          </cell>
          <cell r="B326" t="str">
            <v>NORD EST</v>
          </cell>
          <cell r="C326" t="str">
            <v>MARCHE</v>
          </cell>
          <cell r="D326" t="str">
            <v>MACERATA</v>
          </cell>
          <cell r="E326" t="str">
            <v>MACERATA</v>
          </cell>
          <cell r="F326" t="str">
            <v>S.S.77 KM 84 LOC. SFORZACOSTA</v>
          </cell>
          <cell r="G326">
            <v>45505</v>
          </cell>
          <cell r="H326" t="str">
            <v>Attivo</v>
          </cell>
        </row>
        <row r="327">
          <cell r="A327">
            <v>6965</v>
          </cell>
          <cell r="B327" t="str">
            <v>CENTRO</v>
          </cell>
          <cell r="C327" t="str">
            <v>LAZIO</v>
          </cell>
          <cell r="D327" t="str">
            <v>ROMA</v>
          </cell>
          <cell r="E327" t="str">
            <v>FIANO ROMANO</v>
          </cell>
          <cell r="F327" t="str">
            <v>S.S.4 DIR. KM. 3 + 400</v>
          </cell>
          <cell r="G327">
            <v>44847</v>
          </cell>
          <cell r="H327" t="str">
            <v>Attivo</v>
          </cell>
        </row>
        <row r="328">
          <cell r="A328">
            <v>7088</v>
          </cell>
          <cell r="B328" t="str">
            <v>CENTRO</v>
          </cell>
          <cell r="C328" t="str">
            <v>LAZIO</v>
          </cell>
          <cell r="D328" t="str">
            <v>ROMA</v>
          </cell>
          <cell r="E328" t="str">
            <v>ROMA</v>
          </cell>
          <cell r="F328" t="str">
            <v>CORSO DI FRANCIA 80</v>
          </cell>
          <cell r="G328">
            <v>44404</v>
          </cell>
          <cell r="H328" t="str">
            <v>Attivo</v>
          </cell>
        </row>
        <row r="329">
          <cell r="A329">
            <v>7143</v>
          </cell>
          <cell r="B329" t="str">
            <v>CENTRO</v>
          </cell>
          <cell r="C329" t="str">
            <v>LAZIO</v>
          </cell>
          <cell r="D329" t="str">
            <v>ROMA</v>
          </cell>
          <cell r="E329" t="str">
            <v>ROMA</v>
          </cell>
          <cell r="F329" t="str">
            <v>VIA AURELIA KM 8,456</v>
          </cell>
          <cell r="G329">
            <v>44854</v>
          </cell>
          <cell r="H329" t="str">
            <v>Attivo</v>
          </cell>
        </row>
        <row r="330">
          <cell r="A330">
            <v>8013</v>
          </cell>
          <cell r="B330" t="str">
            <v>SUD</v>
          </cell>
          <cell r="C330" t="str">
            <v>CAMPANIA</v>
          </cell>
          <cell r="D330" t="str">
            <v>NAPOLI</v>
          </cell>
          <cell r="E330" t="str">
            <v>ACERRA</v>
          </cell>
          <cell r="F330" t="str">
            <v>CORSO ITALIA  SNC</v>
          </cell>
          <cell r="G330">
            <v>45341</v>
          </cell>
          <cell r="H330" t="str">
            <v>Attivo</v>
          </cell>
        </row>
        <row r="331">
          <cell r="A331">
            <v>8413</v>
          </cell>
          <cell r="B331" t="str">
            <v>SUD</v>
          </cell>
          <cell r="C331" t="str">
            <v>CAMPANIA</v>
          </cell>
          <cell r="D331" t="str">
            <v>CASERTA</v>
          </cell>
          <cell r="E331" t="str">
            <v>CAPUA</v>
          </cell>
          <cell r="F331" t="str">
            <v>VIA FUORI PORTA ROMA</v>
          </cell>
          <cell r="G331">
            <v>44686</v>
          </cell>
          <cell r="H331" t="str">
            <v>Attivo</v>
          </cell>
        </row>
        <row r="332">
          <cell r="A332">
            <v>9315</v>
          </cell>
          <cell r="B332" t="str">
            <v>SUD</v>
          </cell>
          <cell r="C332" t="str">
            <v>PUGLIA</v>
          </cell>
          <cell r="D332" t="str">
            <v>FOGGIA</v>
          </cell>
          <cell r="E332" t="str">
            <v>CHIEUTI</v>
          </cell>
          <cell r="F332" t="str">
            <v>LOCALITA' FANTINA</v>
          </cell>
          <cell r="G332">
            <v>44987</v>
          </cell>
          <cell r="H332" t="str">
            <v>Attivo</v>
          </cell>
        </row>
        <row r="333">
          <cell r="A333">
            <v>13734</v>
          </cell>
          <cell r="B333" t="str">
            <v>NORD EST</v>
          </cell>
          <cell r="C333" t="str">
            <v>VENETO</v>
          </cell>
          <cell r="D333" t="str">
            <v>VENEZIA</v>
          </cell>
          <cell r="E333" t="str">
            <v>PIANIGA</v>
          </cell>
          <cell r="F333" t="str">
            <v>STAZIONE 1</v>
          </cell>
          <cell r="G333">
            <v>44145</v>
          </cell>
          <cell r="H333" t="str">
            <v>Attivo</v>
          </cell>
        </row>
        <row r="334">
          <cell r="A334">
            <v>14289</v>
          </cell>
          <cell r="B334" t="str">
            <v>NORD EST</v>
          </cell>
          <cell r="C334" t="str">
            <v>FRIULI VENEZIA GIULIA</v>
          </cell>
          <cell r="D334" t="str">
            <v>UDINE</v>
          </cell>
          <cell r="E334" t="str">
            <v>SAN DANIELE DEL FRIULI</v>
          </cell>
          <cell r="F334" t="str">
            <v>VIA VENEZIA, 89/91</v>
          </cell>
          <cell r="G334">
            <v>46156</v>
          </cell>
          <cell r="H334" t="str">
            <v>Attivo</v>
          </cell>
        </row>
        <row r="335">
          <cell r="A335">
            <v>16435</v>
          </cell>
          <cell r="B335" t="str">
            <v>NORD EST</v>
          </cell>
          <cell r="C335" t="str">
            <v>EMILIA-ROMAGNA</v>
          </cell>
          <cell r="D335" t="str">
            <v>REGGIO EMILIA</v>
          </cell>
          <cell r="E335" t="str">
            <v>CORREGGIO</v>
          </cell>
          <cell r="F335" t="str">
            <v>SS PER REGGIO EMILIA, 36/A</v>
          </cell>
          <cell r="G335">
            <v>46161</v>
          </cell>
          <cell r="H335" t="str">
            <v>Attivo</v>
          </cell>
        </row>
        <row r="336">
          <cell r="A336">
            <v>17315</v>
          </cell>
          <cell r="B336" t="str">
            <v>NORD EST</v>
          </cell>
          <cell r="C336" t="str">
            <v>MARCHE</v>
          </cell>
          <cell r="D336" t="str">
            <v>ASCOLI PICENO</v>
          </cell>
          <cell r="E336" t="str">
            <v>SAN BENEDETTO DEL TRONTO</v>
          </cell>
          <cell r="F336" t="str">
            <v>S.PROV.ALLACCIANTE</v>
          </cell>
          <cell r="G336">
            <v>45250</v>
          </cell>
          <cell r="H336" t="str">
            <v>Attivo</v>
          </cell>
        </row>
        <row r="337">
          <cell r="A337">
            <v>19569</v>
          </cell>
          <cell r="B337" t="str">
            <v>SUD</v>
          </cell>
          <cell r="C337" t="str">
            <v>SICILIA</v>
          </cell>
          <cell r="D337" t="str">
            <v>CATANIA</v>
          </cell>
          <cell r="E337" t="str">
            <v>PATERNÒ</v>
          </cell>
          <cell r="F337" t="str">
            <v>USCITA PER SCHETTINO</v>
          </cell>
          <cell r="G337">
            <v>44621</v>
          </cell>
          <cell r="H337" t="str">
            <v>Attivo</v>
          </cell>
        </row>
        <row r="338">
          <cell r="A338">
            <v>24526</v>
          </cell>
          <cell r="B338" t="str">
            <v>CENTRO</v>
          </cell>
          <cell r="C338" t="str">
            <v>UMBRIA</v>
          </cell>
          <cell r="D338" t="str">
            <v>PERUGIA</v>
          </cell>
          <cell r="E338" t="str">
            <v>S.MARTINO IN CAMPO</v>
          </cell>
          <cell r="F338" t="str">
            <v>KM62+110 E 45, S.MARTINO IN CAMPO</v>
          </cell>
          <cell r="G338">
            <v>44158</v>
          </cell>
          <cell r="H338" t="str">
            <v>Attivo</v>
          </cell>
        </row>
        <row r="339">
          <cell r="A339">
            <v>25556</v>
          </cell>
          <cell r="B339" t="str">
            <v>NORD EST</v>
          </cell>
          <cell r="C339" t="str">
            <v>EMILIA-ROMAGNA</v>
          </cell>
          <cell r="D339" t="str">
            <v>BOLOGNA</v>
          </cell>
          <cell r="E339" t="str">
            <v>BOLOGNA</v>
          </cell>
          <cell r="F339" t="str">
            <v>VIALE DELL'INDUSTRIA 44</v>
          </cell>
          <cell r="G339">
            <v>44588</v>
          </cell>
          <cell r="H339" t="str">
            <v>Attivo</v>
          </cell>
        </row>
        <row r="340">
          <cell r="A340">
            <v>26619</v>
          </cell>
          <cell r="B340" t="str">
            <v>CENTRO</v>
          </cell>
          <cell r="C340" t="str">
            <v>ABRUZZO</v>
          </cell>
          <cell r="D340" t="str">
            <v>CHIETI</v>
          </cell>
          <cell r="E340" t="str">
            <v>SAN GIOVANNI TEATINO</v>
          </cell>
          <cell r="F340" t="str">
            <v>LOC. DRAGONARA VIA NENNI  SNC</v>
          </cell>
          <cell r="G340">
            <v>45696</v>
          </cell>
          <cell r="H340" t="str">
            <v>Attivo</v>
          </cell>
        </row>
        <row r="341">
          <cell r="A341">
            <v>27195</v>
          </cell>
          <cell r="B341" t="str">
            <v>CENTRO</v>
          </cell>
          <cell r="C341" t="str">
            <v>LAZIO</v>
          </cell>
          <cell r="D341" t="str">
            <v>ROMA</v>
          </cell>
          <cell r="E341" t="str">
            <v>GALLICANO NEL LAZIO</v>
          </cell>
          <cell r="F341" t="str">
            <v>PRENESTINA EST</v>
          </cell>
          <cell r="G341">
            <v>45819</v>
          </cell>
          <cell r="H341" t="str">
            <v>Attivo</v>
          </cell>
        </row>
        <row r="342">
          <cell r="A342">
            <v>34802</v>
          </cell>
          <cell r="B342" t="str">
            <v>CENTRO</v>
          </cell>
          <cell r="C342" t="str">
            <v>TOSCANA</v>
          </cell>
          <cell r="D342" t="str">
            <v>PRATO</v>
          </cell>
          <cell r="E342" t="str">
            <v>PRATO</v>
          </cell>
          <cell r="F342" t="str">
            <v>XVI APRILE</v>
          </cell>
          <cell r="G342">
            <v>44646</v>
          </cell>
          <cell r="H342" t="str">
            <v>Attivo</v>
          </cell>
        </row>
        <row r="343">
          <cell r="A343">
            <v>36981</v>
          </cell>
          <cell r="B343" t="str">
            <v>CENTRO</v>
          </cell>
          <cell r="C343" t="str">
            <v>LAZIO</v>
          </cell>
          <cell r="D343" t="str">
            <v>ROMA</v>
          </cell>
          <cell r="E343" t="str">
            <v>ROMA</v>
          </cell>
          <cell r="F343" t="str">
            <v>VIA COLLATINA 427, ANG. VIA PETITTI</v>
          </cell>
          <cell r="G343">
            <v>44644</v>
          </cell>
          <cell r="H343" t="str">
            <v>Attivo</v>
          </cell>
        </row>
        <row r="344">
          <cell r="A344">
            <v>51192</v>
          </cell>
          <cell r="B344" t="str">
            <v>NORD OVEST</v>
          </cell>
          <cell r="C344" t="str">
            <v>PIEMONTE</v>
          </cell>
          <cell r="D344" t="str">
            <v>TORINO</v>
          </cell>
          <cell r="E344" t="str">
            <v>CHIERI</v>
          </cell>
          <cell r="F344" t="str">
            <v>SS 10 KM 18+000</v>
          </cell>
          <cell r="G344">
            <v>44169</v>
          </cell>
          <cell r="H344" t="str">
            <v>Attivo</v>
          </cell>
        </row>
        <row r="345">
          <cell r="A345">
            <v>51294</v>
          </cell>
          <cell r="B345" t="str">
            <v>NORD OVEST</v>
          </cell>
          <cell r="C345" t="str">
            <v>PIEMONTE</v>
          </cell>
          <cell r="D345" t="str">
            <v>TORINO</v>
          </cell>
          <cell r="E345" t="str">
            <v>CARMAGNOLA</v>
          </cell>
          <cell r="F345" t="str">
            <v>VIA S.FRANCESCO DI SALES NO 14</v>
          </cell>
          <cell r="G345">
            <v>45435</v>
          </cell>
          <cell r="H345" t="str">
            <v>Attivo</v>
          </cell>
        </row>
        <row r="346">
          <cell r="A346">
            <v>52221</v>
          </cell>
          <cell r="B346" t="str">
            <v>NORD OVEST</v>
          </cell>
          <cell r="C346" t="str">
            <v>LOMBARDIA</v>
          </cell>
          <cell r="D346" t="str">
            <v>MILANO</v>
          </cell>
          <cell r="E346" t="str">
            <v>MILANO</v>
          </cell>
          <cell r="F346" t="str">
            <v>PIAZZA TRENTO 38 ANGOLO VIALE ISONZO</v>
          </cell>
          <cell r="G346">
            <v>44060</v>
          </cell>
          <cell r="H346" t="str">
            <v>Attivo</v>
          </cell>
        </row>
        <row r="347">
          <cell r="A347">
            <v>53882</v>
          </cell>
          <cell r="B347" t="str">
            <v>NORD EST</v>
          </cell>
          <cell r="C347" t="str">
            <v>MARCHE</v>
          </cell>
          <cell r="D347" t="str">
            <v>FERMO</v>
          </cell>
          <cell r="E347" t="str">
            <v>PORTO SAN GIORGIO</v>
          </cell>
          <cell r="F347" t="str">
            <v>VIA ROSSELLI - SS 16  KM359+600</v>
          </cell>
          <cell r="G347">
            <v>44875</v>
          </cell>
          <cell r="H347" t="str">
            <v>Attivo</v>
          </cell>
        </row>
        <row r="348">
          <cell r="A348">
            <v>53921</v>
          </cell>
          <cell r="B348" t="str">
            <v>NORD EST</v>
          </cell>
          <cell r="C348" t="str">
            <v>VENETO</v>
          </cell>
          <cell r="D348" t="str">
            <v>PADOVA</v>
          </cell>
          <cell r="E348" t="str">
            <v>PADOVA</v>
          </cell>
          <cell r="F348" t="str">
            <v>TRE PONTI 13/C</v>
          </cell>
          <cell r="G348">
            <v>46146</v>
          </cell>
          <cell r="H348" t="str">
            <v>Attivo</v>
          </cell>
        </row>
        <row r="349">
          <cell r="A349">
            <v>53970</v>
          </cell>
          <cell r="B349" t="str">
            <v>NORD EST</v>
          </cell>
          <cell r="C349" t="str">
            <v>EMILIA-ROMAGNA</v>
          </cell>
          <cell r="D349" t="str">
            <v>FORLI CESENA</v>
          </cell>
          <cell r="E349" t="str">
            <v>CESENA</v>
          </cell>
          <cell r="F349" t="str">
            <v>VIA CALCINARO 2460</v>
          </cell>
          <cell r="G349">
            <v>44055</v>
          </cell>
          <cell r="H349" t="str">
            <v>Attivo</v>
          </cell>
        </row>
        <row r="350">
          <cell r="A350">
            <v>54066</v>
          </cell>
          <cell r="B350" t="str">
            <v>CENTRO</v>
          </cell>
          <cell r="C350" t="str">
            <v>TOSCANA</v>
          </cell>
          <cell r="D350" t="str">
            <v>LUCCA</v>
          </cell>
          <cell r="E350" t="str">
            <v>PIETRASANTA</v>
          </cell>
          <cell r="F350" t="str">
            <v>UNITA' D'ITALIA 9</v>
          </cell>
          <cell r="G350">
            <v>44860</v>
          </cell>
          <cell r="H350" t="str">
            <v>Attivo</v>
          </cell>
        </row>
        <row r="351">
          <cell r="A351">
            <v>55106</v>
          </cell>
          <cell r="B351" t="str">
            <v>SUD</v>
          </cell>
          <cell r="C351" t="str">
            <v>SICILIA</v>
          </cell>
          <cell r="D351" t="str">
            <v>CATANIA</v>
          </cell>
          <cell r="E351" t="str">
            <v>CATANIA</v>
          </cell>
          <cell r="F351" t="str">
            <v>VIA A. DORIA</v>
          </cell>
          <cell r="G351">
            <v>46037</v>
          </cell>
          <cell r="H351" t="str">
            <v>Attivo</v>
          </cell>
        </row>
        <row r="352">
          <cell r="A352">
            <v>55307</v>
          </cell>
          <cell r="B352" t="str">
            <v>CENTRO</v>
          </cell>
          <cell r="C352" t="str">
            <v>LAZIO</v>
          </cell>
          <cell r="D352" t="str">
            <v>ROMA</v>
          </cell>
          <cell r="E352" t="str">
            <v>ROMA</v>
          </cell>
          <cell r="F352" t="str">
            <v>VIA CASILINA, 930</v>
          </cell>
          <cell r="G352">
            <v>45499</v>
          </cell>
          <cell r="H352" t="str">
            <v>Attivo</v>
          </cell>
        </row>
        <row r="353">
          <cell r="A353">
            <v>56232</v>
          </cell>
          <cell r="B353" t="str">
            <v>NORD OVEST</v>
          </cell>
          <cell r="C353" t="str">
            <v>LOMBARDIA</v>
          </cell>
          <cell r="D353" t="str">
            <v>MILANO</v>
          </cell>
          <cell r="E353" t="str">
            <v>MILANO</v>
          </cell>
          <cell r="F353" t="str">
            <v>VIALE PAPINIANO  54 54</v>
          </cell>
          <cell r="G353">
            <v>44524</v>
          </cell>
          <cell r="H353" t="str">
            <v>Attivo</v>
          </cell>
        </row>
        <row r="354">
          <cell r="A354">
            <v>59001</v>
          </cell>
          <cell r="B354" t="str">
            <v>NORD OVEST</v>
          </cell>
          <cell r="C354" t="str">
            <v>VALLE D'AOSTA</v>
          </cell>
          <cell r="D354" t="str">
            <v>AOSTA</v>
          </cell>
          <cell r="E354" t="str">
            <v>SAINT-CHRISTOPHE</v>
          </cell>
          <cell r="F354" t="str">
            <v>S.S. N. 26 KM 99+263 - LOC. GRAND CHEMIN  SNC</v>
          </cell>
          <cell r="G354">
            <v>45967</v>
          </cell>
          <cell r="H354" t="str">
            <v>Attivo</v>
          </cell>
        </row>
        <row r="355">
          <cell r="A355">
            <v>59331</v>
          </cell>
          <cell r="B355" t="str">
            <v>CENTRO</v>
          </cell>
          <cell r="C355" t="str">
            <v>LAZIO</v>
          </cell>
          <cell r="D355" t="str">
            <v>VITERBO</v>
          </cell>
          <cell r="E355" t="str">
            <v>MONTALTO DI CASTRO</v>
          </cell>
          <cell r="F355" t="str">
            <v>S.S. 1 AURELIA SUD KM 107+200</v>
          </cell>
          <cell r="G355">
            <v>44713</v>
          </cell>
          <cell r="H355" t="str">
            <v>Attivo</v>
          </cell>
        </row>
        <row r="356">
          <cell r="A356">
            <v>59427</v>
          </cell>
          <cell r="B356" t="str">
            <v>SUD</v>
          </cell>
          <cell r="C356" t="str">
            <v>SICILIA</v>
          </cell>
          <cell r="D356" t="str">
            <v>CATANIA</v>
          </cell>
          <cell r="E356" t="str">
            <v>CALATABIANO</v>
          </cell>
          <cell r="F356" t="str">
            <v>C. DA PASTERIA</v>
          </cell>
          <cell r="G356">
            <v>45961</v>
          </cell>
          <cell r="H356" t="str">
            <v>Attivo</v>
          </cell>
        </row>
        <row r="357">
          <cell r="A357">
            <v>452</v>
          </cell>
          <cell r="B357" t="str">
            <v>NORD OVEST</v>
          </cell>
          <cell r="C357" t="str">
            <v>PIEMONTE</v>
          </cell>
          <cell r="D357" t="str">
            <v>VERBANO CUSIO OSSOLA</v>
          </cell>
          <cell r="E357" t="str">
            <v>STRESA</v>
          </cell>
          <cell r="F357" t="str">
            <v>SS 33</v>
          </cell>
          <cell r="G357">
            <v>44833</v>
          </cell>
          <cell r="H357" t="str">
            <v>Attivo</v>
          </cell>
        </row>
        <row r="358">
          <cell r="A358">
            <v>544</v>
          </cell>
          <cell r="B358" t="str">
            <v>NORD OVEST</v>
          </cell>
          <cell r="C358" t="str">
            <v>PIEMONTE</v>
          </cell>
          <cell r="D358" t="str">
            <v>TORINO</v>
          </cell>
          <cell r="E358" t="str">
            <v>CALUSO</v>
          </cell>
          <cell r="F358" t="str">
            <v>STRADA PROV.53 KM 12</v>
          </cell>
          <cell r="G358">
            <v>44875</v>
          </cell>
          <cell r="H358" t="str">
            <v>Attivo</v>
          </cell>
        </row>
        <row r="359">
          <cell r="A359">
            <v>585</v>
          </cell>
          <cell r="B359" t="str">
            <v>NORD OVEST</v>
          </cell>
          <cell r="C359" t="str">
            <v>PIEMONTE</v>
          </cell>
          <cell r="D359" t="str">
            <v>TORINO</v>
          </cell>
          <cell r="E359" t="str">
            <v>TORINO</v>
          </cell>
          <cell r="F359" t="str">
            <v>CSO UNIONE SOVIETICA 614/A</v>
          </cell>
          <cell r="G359">
            <v>45827</v>
          </cell>
          <cell r="H359" t="str">
            <v>Attivo</v>
          </cell>
        </row>
        <row r="360">
          <cell r="A360">
            <v>1409</v>
          </cell>
          <cell r="B360" t="str">
            <v>NORD OVEST</v>
          </cell>
          <cell r="C360" t="str">
            <v>PIEMONTE</v>
          </cell>
          <cell r="D360" t="str">
            <v>ALESSANDRIA</v>
          </cell>
          <cell r="E360" t="str">
            <v>NOVI LIGURE</v>
          </cell>
          <cell r="F360" t="str">
            <v>VIA MAZZINI 56</v>
          </cell>
          <cell r="G360">
            <v>46150</v>
          </cell>
          <cell r="H360" t="str">
            <v>Attivo</v>
          </cell>
        </row>
        <row r="361">
          <cell r="A361">
            <v>1416</v>
          </cell>
          <cell r="B361" t="str">
            <v>NORD OVEST</v>
          </cell>
          <cell r="C361" t="str">
            <v>PIEMONTE</v>
          </cell>
          <cell r="D361" t="str">
            <v>ALESSANDRIA</v>
          </cell>
          <cell r="E361" t="str">
            <v>SERRAVALLE SCRIVIA</v>
          </cell>
          <cell r="F361" t="str">
            <v>SS 35/BIS KM. 0+600 C/O OUTLET</v>
          </cell>
          <cell r="G361">
            <v>45336</v>
          </cell>
          <cell r="H361" t="str">
            <v>Attivo</v>
          </cell>
        </row>
        <row r="362">
          <cell r="A362">
            <v>1523</v>
          </cell>
          <cell r="B362" t="str">
            <v>NORD OVEST</v>
          </cell>
          <cell r="C362" t="str">
            <v>LOMBARDIA</v>
          </cell>
          <cell r="D362" t="str">
            <v>BERGAMO</v>
          </cell>
          <cell r="E362" t="str">
            <v>CISANO BERGAMASCO</v>
          </cell>
          <cell r="F362" t="str">
            <v>SS342 KM 18+640</v>
          </cell>
          <cell r="G362">
            <v>44694</v>
          </cell>
          <cell r="H362" t="str">
            <v>Attivo</v>
          </cell>
        </row>
        <row r="363">
          <cell r="A363">
            <v>1631</v>
          </cell>
          <cell r="B363" t="str">
            <v>NORD OVEST</v>
          </cell>
          <cell r="C363" t="str">
            <v>LOMBARDIA</v>
          </cell>
          <cell r="D363" t="str">
            <v>BERGAMO</v>
          </cell>
          <cell r="E363" t="str">
            <v>TELGATE</v>
          </cell>
          <cell r="F363" t="str">
            <v>VIALE PAPA GIOVANNI</v>
          </cell>
          <cell r="G363">
            <v>46128</v>
          </cell>
          <cell r="H363" t="str">
            <v>Attivo</v>
          </cell>
        </row>
        <row r="364">
          <cell r="A364">
            <v>2004</v>
          </cell>
          <cell r="B364" t="str">
            <v>NORD OVEST</v>
          </cell>
          <cell r="C364" t="str">
            <v>LOMBARDIA</v>
          </cell>
          <cell r="D364" t="str">
            <v>CREMONA</v>
          </cell>
          <cell r="E364" t="str">
            <v>RIVOLTA D'ADDA</v>
          </cell>
          <cell r="F364" t="str">
            <v>VIA GIUSEPPE DI VITTORIO 17</v>
          </cell>
          <cell r="G364">
            <v>44273</v>
          </cell>
          <cell r="H364" t="str">
            <v>Attivo</v>
          </cell>
        </row>
        <row r="365">
          <cell r="A365">
            <v>2024</v>
          </cell>
          <cell r="B365" t="str">
            <v>NORD OVEST</v>
          </cell>
          <cell r="C365" t="str">
            <v>LOMBARDIA</v>
          </cell>
          <cell r="D365" t="str">
            <v>CREMONA</v>
          </cell>
          <cell r="E365" t="str">
            <v>CASALMAGGIORE</v>
          </cell>
          <cell r="F365" t="str">
            <v>VIA ROMA 36</v>
          </cell>
          <cell r="G365">
            <v>45539</v>
          </cell>
          <cell r="H365" t="str">
            <v>Attivo</v>
          </cell>
        </row>
        <row r="366">
          <cell r="A366">
            <v>2164</v>
          </cell>
          <cell r="B366" t="str">
            <v>NORD OVEST</v>
          </cell>
          <cell r="C366" t="str">
            <v>LOMBARDIA</v>
          </cell>
          <cell r="D366" t="str">
            <v>LODI</v>
          </cell>
          <cell r="E366" t="str">
            <v>CASALPUSTERLENGO</v>
          </cell>
          <cell r="F366" t="str">
            <v>SS.234 KM 9+250</v>
          </cell>
          <cell r="G366">
            <v>44695</v>
          </cell>
          <cell r="H366" t="str">
            <v>Attivo</v>
          </cell>
        </row>
        <row r="367">
          <cell r="A367">
            <v>2925</v>
          </cell>
          <cell r="B367" t="str">
            <v>NORD OVEST</v>
          </cell>
          <cell r="C367" t="str">
            <v>LOMBARDIA</v>
          </cell>
          <cell r="D367" t="str">
            <v>VARESE</v>
          </cell>
          <cell r="E367" t="str">
            <v>CARDANO AL CAMPO</v>
          </cell>
          <cell r="F367" t="str">
            <v>S.S.336 PER MALPENSA  KM.8+500</v>
          </cell>
          <cell r="G367">
            <v>45062</v>
          </cell>
          <cell r="H367" t="str">
            <v>Attivo</v>
          </cell>
        </row>
        <row r="368">
          <cell r="A368">
            <v>3211</v>
          </cell>
          <cell r="B368" t="str">
            <v>NORD EST</v>
          </cell>
          <cell r="C368" t="str">
            <v>VENETO</v>
          </cell>
          <cell r="D368" t="str">
            <v>PADOVA</v>
          </cell>
          <cell r="E368" t="str">
            <v>PADOVA</v>
          </cell>
          <cell r="F368" t="str">
            <v>LOC. PONTE DI BRENTA SNC</v>
          </cell>
          <cell r="G368">
            <v>44158</v>
          </cell>
          <cell r="H368" t="str">
            <v>Attivo</v>
          </cell>
        </row>
        <row r="369">
          <cell r="A369">
            <v>3276</v>
          </cell>
          <cell r="B369" t="str">
            <v>NORD EST</v>
          </cell>
          <cell r="C369" t="str">
            <v>VENETO</v>
          </cell>
          <cell r="D369" t="str">
            <v>PADOVA</v>
          </cell>
          <cell r="E369" t="str">
            <v>PADOVA</v>
          </cell>
          <cell r="F369" t="str">
            <v>VIA VICENZA</v>
          </cell>
          <cell r="G369">
            <v>44879</v>
          </cell>
          <cell r="H369" t="str">
            <v>Attivo</v>
          </cell>
        </row>
        <row r="370">
          <cell r="A370">
            <v>3521</v>
          </cell>
          <cell r="B370" t="str">
            <v>NORD EST</v>
          </cell>
          <cell r="C370" t="str">
            <v>TRENTINO-ALTO ADIGE</v>
          </cell>
          <cell r="D370" t="str">
            <v>TRENTO</v>
          </cell>
          <cell r="E370" t="str">
            <v>TRENTO</v>
          </cell>
          <cell r="F370" t="str">
            <v>VIA MACCANI</v>
          </cell>
          <cell r="G370">
            <v>44697</v>
          </cell>
          <cell r="H370" t="str">
            <v>Attivo</v>
          </cell>
        </row>
        <row r="371">
          <cell r="A371">
            <v>3543</v>
          </cell>
          <cell r="B371" t="str">
            <v>NORD EST</v>
          </cell>
          <cell r="C371" t="str">
            <v>TRENTINO-ALTO ADIGE</v>
          </cell>
          <cell r="D371" t="str">
            <v>TRENTO</v>
          </cell>
          <cell r="E371" t="str">
            <v>RIVA DEL GARDA</v>
          </cell>
          <cell r="F371" t="str">
            <v>VIALE CARDUCCI</v>
          </cell>
          <cell r="G371">
            <v>44599</v>
          </cell>
          <cell r="H371" t="str">
            <v>Attivo</v>
          </cell>
        </row>
        <row r="372">
          <cell r="A372">
            <v>3679</v>
          </cell>
          <cell r="B372" t="str">
            <v>NORD EST</v>
          </cell>
          <cell r="C372" t="str">
            <v>VENETO</v>
          </cell>
          <cell r="D372" t="str">
            <v>VENEZIA</v>
          </cell>
          <cell r="E372" t="str">
            <v>SAN DONÀ DI PIAVE</v>
          </cell>
          <cell r="F372" t="str">
            <v>VIA NOVENTA 150</v>
          </cell>
          <cell r="G372">
            <v>44873</v>
          </cell>
          <cell r="H372" t="str">
            <v>Attivo</v>
          </cell>
        </row>
        <row r="373">
          <cell r="A373">
            <v>4044</v>
          </cell>
          <cell r="B373" t="str">
            <v>NORD EST</v>
          </cell>
          <cell r="C373" t="str">
            <v>FRIULI VENEZIA GIULIA</v>
          </cell>
          <cell r="D373" t="str">
            <v>TRIESTE</v>
          </cell>
          <cell r="E373" t="str">
            <v>TRIESTE</v>
          </cell>
          <cell r="F373" t="str">
            <v>V.LE MIRAMARE  49 0049</v>
          </cell>
          <cell r="G373">
            <v>44635</v>
          </cell>
          <cell r="H373" t="str">
            <v>Attivo</v>
          </cell>
        </row>
        <row r="374">
          <cell r="A374">
            <v>4247</v>
          </cell>
          <cell r="B374" t="str">
            <v>NORD EST</v>
          </cell>
          <cell r="C374" t="str">
            <v>FRIULI VENEZIA GIULIA</v>
          </cell>
          <cell r="D374" t="str">
            <v>PORDENONE</v>
          </cell>
          <cell r="E374" t="str">
            <v>BRUGNERA</v>
          </cell>
          <cell r="F374" t="str">
            <v>UNGARESCA 0017</v>
          </cell>
          <cell r="G374">
            <v>44707</v>
          </cell>
          <cell r="H374" t="str">
            <v>Attivo</v>
          </cell>
        </row>
        <row r="375">
          <cell r="A375">
            <v>4653</v>
          </cell>
          <cell r="B375" t="str">
            <v>CENTRO</v>
          </cell>
          <cell r="C375" t="str">
            <v>TOSCANA</v>
          </cell>
          <cell r="D375" t="str">
            <v>AREZZO</v>
          </cell>
          <cell r="E375" t="str">
            <v>CASTIGLION FIORENTINO</v>
          </cell>
          <cell r="F375" t="str">
            <v>SS 71 KM.131+073</v>
          </cell>
          <cell r="G375">
            <v>44712</v>
          </cell>
          <cell r="H375" t="str">
            <v>Attivo</v>
          </cell>
        </row>
        <row r="376">
          <cell r="A376">
            <v>4812</v>
          </cell>
          <cell r="B376" t="str">
            <v>CENTRO</v>
          </cell>
          <cell r="C376" t="str">
            <v>TOSCANA</v>
          </cell>
          <cell r="D376" t="str">
            <v>FIRENZE</v>
          </cell>
          <cell r="E376" t="str">
            <v>FIRENZE</v>
          </cell>
          <cell r="F376" t="str">
            <v>VIA DEL ROMITO</v>
          </cell>
          <cell r="G376">
            <v>44813</v>
          </cell>
          <cell r="H376" t="str">
            <v>Attivo</v>
          </cell>
        </row>
        <row r="377">
          <cell r="A377">
            <v>4951</v>
          </cell>
          <cell r="B377" t="str">
            <v>CENTRO</v>
          </cell>
          <cell r="C377" t="str">
            <v>TOSCANA</v>
          </cell>
          <cell r="D377" t="str">
            <v>GROSSETO</v>
          </cell>
          <cell r="E377" t="str">
            <v>GROSSETO</v>
          </cell>
          <cell r="F377" t="str">
            <v>VIA AURELIA NORD 162</v>
          </cell>
          <cell r="G377">
            <v>44713</v>
          </cell>
          <cell r="H377" t="str">
            <v>Attivo</v>
          </cell>
        </row>
        <row r="378">
          <cell r="A378">
            <v>5536</v>
          </cell>
          <cell r="B378" t="str">
            <v>NORD EST</v>
          </cell>
          <cell r="C378" t="str">
            <v>EMILIA-ROMAGNA</v>
          </cell>
          <cell r="D378" t="str">
            <v>BOLOGNA</v>
          </cell>
          <cell r="E378" t="str">
            <v>BOLOGNA</v>
          </cell>
          <cell r="F378" t="str">
            <v>VIA ALDINI 186</v>
          </cell>
          <cell r="G378">
            <v>44169</v>
          </cell>
          <cell r="H378" t="str">
            <v>Attivo</v>
          </cell>
        </row>
        <row r="379">
          <cell r="A379">
            <v>5589</v>
          </cell>
          <cell r="B379" t="str">
            <v>NORD EST</v>
          </cell>
          <cell r="C379" t="str">
            <v>EMILIA-ROMAGNA</v>
          </cell>
          <cell r="D379" t="str">
            <v>BOLOGNA</v>
          </cell>
          <cell r="E379" t="str">
            <v>ZOLA PREDOSA</v>
          </cell>
          <cell r="F379" t="str">
            <v>VIA RISORGIMENTO 77</v>
          </cell>
          <cell r="G379">
            <v>45964</v>
          </cell>
          <cell r="H379" t="str">
            <v>Attivo</v>
          </cell>
        </row>
        <row r="380">
          <cell r="A380">
            <v>5755</v>
          </cell>
          <cell r="B380" t="str">
            <v>NORD EST</v>
          </cell>
          <cell r="C380" t="str">
            <v>MARCHE</v>
          </cell>
          <cell r="D380" t="str">
            <v>ANCONA</v>
          </cell>
          <cell r="E380" t="str">
            <v>CAMERANO</v>
          </cell>
          <cell r="F380" t="str">
            <v>FRAZ. ASPIO SS 16</v>
          </cell>
          <cell r="G380">
            <v>44691</v>
          </cell>
          <cell r="H380" t="str">
            <v>Attivo</v>
          </cell>
        </row>
        <row r="381">
          <cell r="A381">
            <v>5798</v>
          </cell>
          <cell r="B381" t="str">
            <v>NORD EST</v>
          </cell>
          <cell r="C381" t="str">
            <v>MARCHE</v>
          </cell>
          <cell r="D381" t="str">
            <v>ANCONA</v>
          </cell>
          <cell r="E381" t="str">
            <v>MONTE ROBERTO</v>
          </cell>
          <cell r="F381" t="str">
            <v>SS 76 KM 51+485 VARIANTE SNC KM51</v>
          </cell>
          <cell r="G381">
            <v>44838</v>
          </cell>
          <cell r="H381" t="str">
            <v>Attivo</v>
          </cell>
        </row>
        <row r="382">
          <cell r="A382">
            <v>5829</v>
          </cell>
          <cell r="B382" t="str">
            <v>NORD EST</v>
          </cell>
          <cell r="C382" t="str">
            <v>EMILIA-ROMAGNA</v>
          </cell>
          <cell r="D382" t="str">
            <v>FERRARA</v>
          </cell>
          <cell r="E382" t="str">
            <v>FERRARA</v>
          </cell>
          <cell r="F382" t="str">
            <v>VIA RAVENNA 78</v>
          </cell>
          <cell r="G382">
            <v>45965</v>
          </cell>
          <cell r="H382" t="str">
            <v>Attivo</v>
          </cell>
        </row>
        <row r="383">
          <cell r="A383">
            <v>6210</v>
          </cell>
          <cell r="B383" t="str">
            <v>NORD EST</v>
          </cell>
          <cell r="C383" t="str">
            <v>EMILIA-ROMAGNA</v>
          </cell>
          <cell r="D383" t="str">
            <v>MODENA</v>
          </cell>
          <cell r="E383" t="str">
            <v>CARPI</v>
          </cell>
          <cell r="F383" t="str">
            <v>VIA MANZONI</v>
          </cell>
          <cell r="G383">
            <v>44837</v>
          </cell>
          <cell r="H383" t="str">
            <v>Attivo</v>
          </cell>
        </row>
        <row r="384">
          <cell r="A384">
            <v>6259</v>
          </cell>
          <cell r="B384" t="str">
            <v>NORD EST</v>
          </cell>
          <cell r="C384" t="str">
            <v>EMILIA-ROMAGNA</v>
          </cell>
          <cell r="D384" t="str">
            <v>MODENA</v>
          </cell>
          <cell r="E384" t="str">
            <v>MODENA</v>
          </cell>
          <cell r="F384" t="str">
            <v>VIA CANALETTO, 62</v>
          </cell>
          <cell r="G384">
            <v>44874</v>
          </cell>
          <cell r="H384" t="str">
            <v>Attivo</v>
          </cell>
        </row>
        <row r="385">
          <cell r="A385">
            <v>6560</v>
          </cell>
          <cell r="B385" t="str">
            <v>CENTRO</v>
          </cell>
          <cell r="C385" t="str">
            <v>ABRUZZO</v>
          </cell>
          <cell r="D385" t="str">
            <v>L'AQUILA</v>
          </cell>
          <cell r="E385" t="str">
            <v>AVEZZANO</v>
          </cell>
          <cell r="F385" t="str">
            <v>SS 5 KM.113+309 (VIA ROMA 212-TIBURTINA VALERIA)</v>
          </cell>
          <cell r="G385">
            <v>45455</v>
          </cell>
          <cell r="H385" t="str">
            <v>Attivo</v>
          </cell>
        </row>
        <row r="386">
          <cell r="A386">
            <v>6607</v>
          </cell>
          <cell r="B386" t="str">
            <v>CENTRO</v>
          </cell>
          <cell r="C386" t="str">
            <v>ABRUZZO</v>
          </cell>
          <cell r="D386" t="str">
            <v>CHIETI</v>
          </cell>
          <cell r="E386" t="str">
            <v>SAN SALVO</v>
          </cell>
          <cell r="F386" t="str">
            <v>FRAZ-MARINELLE</v>
          </cell>
          <cell r="G386">
            <v>46090</v>
          </cell>
          <cell r="H386" t="str">
            <v>Attivo</v>
          </cell>
        </row>
        <row r="387">
          <cell r="A387">
            <v>7132</v>
          </cell>
          <cell r="B387" t="str">
            <v>CENTRO</v>
          </cell>
          <cell r="C387" t="str">
            <v>LAZIO</v>
          </cell>
          <cell r="D387" t="str">
            <v>ROMA</v>
          </cell>
          <cell r="E387" t="str">
            <v>MARINO</v>
          </cell>
          <cell r="F387" t="str">
            <v>APPIA NUOVA KM 18+934 0006</v>
          </cell>
          <cell r="G387">
            <v>44043</v>
          </cell>
          <cell r="H387" t="str">
            <v>Attivo</v>
          </cell>
        </row>
        <row r="388">
          <cell r="A388">
            <v>7181</v>
          </cell>
          <cell r="B388" t="str">
            <v>CENTRO</v>
          </cell>
          <cell r="C388" t="str">
            <v>LAZIO</v>
          </cell>
          <cell r="D388" t="str">
            <v>ROMA</v>
          </cell>
          <cell r="E388" t="str">
            <v>SUBIACO</v>
          </cell>
          <cell r="F388" t="str">
            <v>SUBLACENSE KM 72*883</v>
          </cell>
          <cell r="G388">
            <v>44089</v>
          </cell>
          <cell r="H388" t="str">
            <v>Attivo</v>
          </cell>
        </row>
        <row r="389">
          <cell r="A389">
            <v>7299</v>
          </cell>
          <cell r="B389" t="str">
            <v>NORD EST</v>
          </cell>
          <cell r="C389" t="str">
            <v>MARCHE</v>
          </cell>
          <cell r="D389" t="str">
            <v>ASCOLI PICENO</v>
          </cell>
          <cell r="E389" t="str">
            <v>GROTTAMMARE</v>
          </cell>
          <cell r="F389" t="str">
            <v>VIA BERNINI</v>
          </cell>
          <cell r="G389">
            <v>44873</v>
          </cell>
          <cell r="H389" t="str">
            <v>Attivo</v>
          </cell>
        </row>
        <row r="390">
          <cell r="A390">
            <v>7408</v>
          </cell>
          <cell r="B390" t="str">
            <v>CENTRO</v>
          </cell>
          <cell r="C390" t="str">
            <v>UMBRIA</v>
          </cell>
          <cell r="D390" t="str">
            <v>TERNI</v>
          </cell>
          <cell r="E390" t="str">
            <v>TERNI</v>
          </cell>
          <cell r="F390" t="str">
            <v>BORGO BOVIO S.S. 3</v>
          </cell>
          <cell r="G390">
            <v>46156</v>
          </cell>
          <cell r="H390" t="str">
            <v>Attivo</v>
          </cell>
        </row>
        <row r="391">
          <cell r="A391">
            <v>8647</v>
          </cell>
          <cell r="B391" t="str">
            <v>SUD</v>
          </cell>
          <cell r="C391" t="str">
            <v>CALABRIA</v>
          </cell>
          <cell r="D391" t="str">
            <v>COSENZA</v>
          </cell>
          <cell r="E391" t="str">
            <v>CASTIGLIONE COSENTINO</v>
          </cell>
          <cell r="F391" t="str">
            <v>VIA PONTE CRATI SNC</v>
          </cell>
          <cell r="G391">
            <v>44251</v>
          </cell>
          <cell r="H391" t="str">
            <v>Attivo</v>
          </cell>
        </row>
        <row r="392">
          <cell r="A392">
            <v>9267</v>
          </cell>
          <cell r="B392" t="str">
            <v>SUD</v>
          </cell>
          <cell r="C392" t="str">
            <v>PUGLIA</v>
          </cell>
          <cell r="D392" t="str">
            <v>FOGGIA</v>
          </cell>
          <cell r="E392" t="str">
            <v>LESINA</v>
          </cell>
          <cell r="F392" t="str">
            <v>SUPERSTRADA PER RODI</v>
          </cell>
          <cell r="G392">
            <v>44721</v>
          </cell>
          <cell r="H392" t="str">
            <v>Attivo</v>
          </cell>
        </row>
        <row r="393">
          <cell r="A393">
            <v>9896</v>
          </cell>
          <cell r="B393" t="str">
            <v>SUD</v>
          </cell>
          <cell r="C393" t="str">
            <v>SICILIA</v>
          </cell>
          <cell r="D393" t="str">
            <v>SIRACUSA</v>
          </cell>
          <cell r="E393" t="str">
            <v>CARLENTINI</v>
          </cell>
          <cell r="F393" t="str">
            <v>VIA COMUNALE PER CATANIA</v>
          </cell>
          <cell r="G393">
            <v>45845</v>
          </cell>
          <cell r="H393" t="str">
            <v>Attivo</v>
          </cell>
        </row>
        <row r="394">
          <cell r="A394">
            <v>11725</v>
          </cell>
          <cell r="B394" t="str">
            <v>NORD OVEST</v>
          </cell>
          <cell r="C394" t="str">
            <v>LOMBARDIA</v>
          </cell>
          <cell r="D394" t="str">
            <v>BRESCIA</v>
          </cell>
          <cell r="E394" t="str">
            <v>GAVARDO</v>
          </cell>
          <cell r="F394" t="str">
            <v>LOC. ROCCOLINO SS45 BIS</v>
          </cell>
          <cell r="G394">
            <v>44707</v>
          </cell>
          <cell r="H394" t="str">
            <v>Attivo</v>
          </cell>
        </row>
        <row r="395">
          <cell r="A395">
            <v>12416</v>
          </cell>
          <cell r="B395" t="str">
            <v>NORD OVEST</v>
          </cell>
          <cell r="C395" t="str">
            <v>LOMBARDIA</v>
          </cell>
          <cell r="D395" t="str">
            <v>MILANO</v>
          </cell>
          <cell r="E395" t="str">
            <v>PADERNO DUGNANO</v>
          </cell>
          <cell r="F395" t="str">
            <v>SP 35 DEI GIOVI KM 132+300</v>
          </cell>
          <cell r="G395">
            <v>45328</v>
          </cell>
          <cell r="H395" t="str">
            <v>Attivo</v>
          </cell>
        </row>
        <row r="396">
          <cell r="A396">
            <v>13227</v>
          </cell>
          <cell r="B396" t="str">
            <v>NORD EST</v>
          </cell>
          <cell r="C396" t="str">
            <v>VENETO</v>
          </cell>
          <cell r="D396" t="str">
            <v>PADOVA</v>
          </cell>
          <cell r="E396" t="str">
            <v>SOLESINO</v>
          </cell>
          <cell r="F396" t="str">
            <v>VIA IV NOVEMBRE 145</v>
          </cell>
          <cell r="G396">
            <v>44593</v>
          </cell>
          <cell r="H396" t="str">
            <v>Attivo</v>
          </cell>
        </row>
        <row r="397">
          <cell r="A397">
            <v>13722</v>
          </cell>
          <cell r="B397" t="str">
            <v>NORD EST</v>
          </cell>
          <cell r="C397" t="str">
            <v>VENETO</v>
          </cell>
          <cell r="D397" t="str">
            <v>VENEZIA</v>
          </cell>
          <cell r="E397" t="str">
            <v>PORTOGRUARO</v>
          </cell>
          <cell r="F397" t="str">
            <v>VIA PORDENONE, 78</v>
          </cell>
          <cell r="G397">
            <v>44595</v>
          </cell>
          <cell r="H397" t="str">
            <v>Attivo</v>
          </cell>
        </row>
        <row r="398">
          <cell r="A398">
            <v>13850</v>
          </cell>
          <cell r="B398" t="str">
            <v>NORD EST</v>
          </cell>
          <cell r="C398" t="str">
            <v>VENETO</v>
          </cell>
          <cell r="D398" t="str">
            <v>VERONA</v>
          </cell>
          <cell r="E398" t="str">
            <v>ZEVIO</v>
          </cell>
          <cell r="F398" t="str">
            <v>S.S.434 TRANSPOLESANA KM.7+400</v>
          </cell>
          <cell r="G398">
            <v>44203</v>
          </cell>
          <cell r="H398" t="str">
            <v>Attivo</v>
          </cell>
        </row>
        <row r="399">
          <cell r="A399">
            <v>13911</v>
          </cell>
          <cell r="B399" t="str">
            <v>NORD EST</v>
          </cell>
          <cell r="C399" t="str">
            <v>VENETO</v>
          </cell>
          <cell r="D399" t="str">
            <v>VICENZA</v>
          </cell>
          <cell r="E399" t="str">
            <v>ALBETTONE</v>
          </cell>
          <cell r="F399" t="str">
            <v>VIA FORNACI 10    SS 247</v>
          </cell>
          <cell r="G399">
            <v>44159</v>
          </cell>
          <cell r="H399" t="str">
            <v>Attivo</v>
          </cell>
        </row>
        <row r="400">
          <cell r="A400">
            <v>16649</v>
          </cell>
          <cell r="B400" t="str">
            <v>CENTRO</v>
          </cell>
          <cell r="C400" t="str">
            <v>LAZIO</v>
          </cell>
          <cell r="D400" t="str">
            <v>FROSINONE</v>
          </cell>
          <cell r="E400" t="str">
            <v>FROSINONE</v>
          </cell>
          <cell r="F400" t="str">
            <v>VIALE VOLSCI KM 5,81</v>
          </cell>
          <cell r="G400">
            <v>44902</v>
          </cell>
          <cell r="H400" t="str">
            <v>Attivo</v>
          </cell>
        </row>
        <row r="401">
          <cell r="A401">
            <v>17310</v>
          </cell>
          <cell r="B401" t="str">
            <v>NORD EST</v>
          </cell>
          <cell r="C401" t="str">
            <v>MARCHE</v>
          </cell>
          <cell r="D401" t="str">
            <v>ASCOLI PICENO</v>
          </cell>
          <cell r="E401" t="str">
            <v>ASCOLI PICENO</v>
          </cell>
          <cell r="F401" t="str">
            <v>SUPERSTRADA ASCOLI MARE KM.3</v>
          </cell>
          <cell r="G401">
            <v>44168</v>
          </cell>
          <cell r="H401" t="str">
            <v>Attivo</v>
          </cell>
        </row>
        <row r="402">
          <cell r="A402">
            <v>25534</v>
          </cell>
          <cell r="B402" t="str">
            <v>NORD EST</v>
          </cell>
          <cell r="C402" t="str">
            <v>EMILIA-ROMAGNA</v>
          </cell>
          <cell r="D402" t="str">
            <v>BOLOGNA</v>
          </cell>
          <cell r="E402" t="str">
            <v>BOLOGNA</v>
          </cell>
          <cell r="F402" t="str">
            <v>VIA STALINGRADO 59/4</v>
          </cell>
          <cell r="G402">
            <v>44638</v>
          </cell>
          <cell r="H402" t="str">
            <v>Attivo</v>
          </cell>
        </row>
        <row r="403">
          <cell r="A403">
            <v>25565</v>
          </cell>
          <cell r="B403" t="str">
            <v>NORD EST</v>
          </cell>
          <cell r="C403" t="str">
            <v>EMILIA-ROMAGNA</v>
          </cell>
          <cell r="D403" t="str">
            <v>BOLOGNA</v>
          </cell>
          <cell r="E403" t="str">
            <v>SAN LAZZARO DI SAVENA</v>
          </cell>
          <cell r="F403" t="str">
            <v>COMPLANARE S. LAZZARO SNC</v>
          </cell>
          <cell r="G403">
            <v>44610</v>
          </cell>
          <cell r="H403" t="str">
            <v>Attivo</v>
          </cell>
        </row>
        <row r="404">
          <cell r="A404">
            <v>27100</v>
          </cell>
          <cell r="B404" t="str">
            <v>CENTRO</v>
          </cell>
          <cell r="C404" t="str">
            <v>LAZIO</v>
          </cell>
          <cell r="D404" t="str">
            <v>ROMA</v>
          </cell>
          <cell r="E404" t="str">
            <v>ROMA</v>
          </cell>
          <cell r="F404" t="str">
            <v>VIA CASILINA  110 110</v>
          </cell>
          <cell r="G404">
            <v>45111</v>
          </cell>
          <cell r="H404" t="str">
            <v>Attivo</v>
          </cell>
        </row>
        <row r="405">
          <cell r="A405">
            <v>27224</v>
          </cell>
          <cell r="B405" t="str">
            <v>CENTRO</v>
          </cell>
          <cell r="C405" t="str">
            <v>LAZIO</v>
          </cell>
          <cell r="D405" t="str">
            <v>ROMA</v>
          </cell>
          <cell r="E405" t="str">
            <v>CAMPAGNANO DI ROMA</v>
          </cell>
          <cell r="F405" t="str">
            <v>SS 2 CASSIA BIS KM30</v>
          </cell>
          <cell r="G405">
            <v>44852</v>
          </cell>
          <cell r="H405" t="str">
            <v>Attivo</v>
          </cell>
        </row>
        <row r="406">
          <cell r="A406">
            <v>34201</v>
          </cell>
          <cell r="B406" t="str">
            <v>CENTRO</v>
          </cell>
          <cell r="C406" t="str">
            <v>TOSCANA</v>
          </cell>
          <cell r="D406" t="str">
            <v>PISA</v>
          </cell>
          <cell r="E406" t="str">
            <v>SANTA CROCE SULL'ARNO</v>
          </cell>
          <cell r="F406" t="str">
            <v>VIA PROVINCIALE NUOVA FRANCESCA KM 8,000 SNC</v>
          </cell>
          <cell r="G406">
            <v>44711</v>
          </cell>
          <cell r="H406" t="str">
            <v>Attivo</v>
          </cell>
        </row>
        <row r="407">
          <cell r="A407">
            <v>36942</v>
          </cell>
          <cell r="B407" t="str">
            <v>CENTRO</v>
          </cell>
          <cell r="C407" t="str">
            <v>LAZIO</v>
          </cell>
          <cell r="D407" t="str">
            <v>ROMA</v>
          </cell>
          <cell r="E407" t="str">
            <v>CASTEL GANDOLFO</v>
          </cell>
          <cell r="F407" t="str">
            <v>VIA MAREMMANA KM 26, 150</v>
          </cell>
          <cell r="G407">
            <v>45258</v>
          </cell>
          <cell r="H407" t="str">
            <v>Attivo</v>
          </cell>
        </row>
        <row r="408">
          <cell r="A408">
            <v>51212</v>
          </cell>
          <cell r="B408" t="str">
            <v>NORD OVEST</v>
          </cell>
          <cell r="C408" t="str">
            <v>PIEMONTE</v>
          </cell>
          <cell r="D408" t="str">
            <v>NOVARA</v>
          </cell>
          <cell r="E408" t="str">
            <v>NOVARA</v>
          </cell>
          <cell r="F408" t="str">
            <v>C.SO TRIESTE, 54B</v>
          </cell>
          <cell r="G408">
            <v>45236</v>
          </cell>
          <cell r="H408" t="str">
            <v>Attivo</v>
          </cell>
        </row>
        <row r="409">
          <cell r="A409">
            <v>51516</v>
          </cell>
          <cell r="B409" t="str">
            <v>NORD EST</v>
          </cell>
          <cell r="C409" t="str">
            <v>VENETO</v>
          </cell>
          <cell r="D409" t="str">
            <v>VERONA</v>
          </cell>
          <cell r="E409" t="str">
            <v>VILLAFRANCA DI VERONA</v>
          </cell>
          <cell r="F409" t="str">
            <v>VIA POSTUMIA N.  86</v>
          </cell>
          <cell r="G409">
            <v>45995</v>
          </cell>
          <cell r="H409" t="str">
            <v>Attivo</v>
          </cell>
        </row>
        <row r="410">
          <cell r="A410">
            <v>51919</v>
          </cell>
          <cell r="B410" t="str">
            <v>NORD OVEST</v>
          </cell>
          <cell r="C410" t="str">
            <v>LOMBARDIA</v>
          </cell>
          <cell r="D410" t="str">
            <v>MILANO</v>
          </cell>
          <cell r="E410" t="str">
            <v>PAULLO</v>
          </cell>
          <cell r="F410" t="str">
            <v>VIA MILANO 108</v>
          </cell>
          <cell r="G410">
            <v>44819</v>
          </cell>
          <cell r="H410" t="str">
            <v>Attivo</v>
          </cell>
        </row>
        <row r="411">
          <cell r="A411">
            <v>52106</v>
          </cell>
          <cell r="B411" t="str">
            <v>NORD OVEST</v>
          </cell>
          <cell r="C411" t="str">
            <v>LOMBARDIA</v>
          </cell>
          <cell r="D411" t="str">
            <v>MILANO</v>
          </cell>
          <cell r="E411" t="str">
            <v>MILANO</v>
          </cell>
          <cell r="F411" t="str">
            <v>GALVANI 34</v>
          </cell>
          <cell r="G411">
            <v>44876</v>
          </cell>
          <cell r="H411" t="str">
            <v>Attivo</v>
          </cell>
        </row>
        <row r="412">
          <cell r="A412">
            <v>54613</v>
          </cell>
          <cell r="B412" t="str">
            <v>SUD</v>
          </cell>
          <cell r="C412" t="str">
            <v>CAMPANIA</v>
          </cell>
          <cell r="D412" t="str">
            <v>CASERTA</v>
          </cell>
          <cell r="E412" t="str">
            <v>SAN NICOLA LA STRADA</v>
          </cell>
          <cell r="F412" t="str">
            <v>SAN NICOLA EST</v>
          </cell>
          <cell r="G412">
            <v>45470</v>
          </cell>
          <cell r="H412" t="str">
            <v>Attivo</v>
          </cell>
        </row>
        <row r="413">
          <cell r="A413">
            <v>55416</v>
          </cell>
          <cell r="B413" t="str">
            <v>CENTRO</v>
          </cell>
          <cell r="C413" t="str">
            <v>TOSCANA</v>
          </cell>
          <cell r="D413" t="str">
            <v>PISTOIA</v>
          </cell>
          <cell r="E413" t="str">
            <v>MONSUMMANO TERME</v>
          </cell>
          <cell r="F413" t="str">
            <v>DELLA COSTITUZIONE, 138</v>
          </cell>
          <cell r="G413">
            <v>45352</v>
          </cell>
          <cell r="H413" t="str">
            <v>Attivo</v>
          </cell>
        </row>
        <row r="414">
          <cell r="A414">
            <v>55973</v>
          </cell>
          <cell r="B414" t="str">
            <v>NORD OVEST</v>
          </cell>
          <cell r="C414" t="str">
            <v>LOMBARDIA</v>
          </cell>
          <cell r="D414" t="str">
            <v>BRESCIA</v>
          </cell>
          <cell r="E414" t="str">
            <v>BOTTICINO</v>
          </cell>
          <cell r="F414" t="str">
            <v>GARIBALDI 18</v>
          </cell>
          <cell r="G414">
            <v>45111</v>
          </cell>
          <cell r="H414" t="str">
            <v>Attivo</v>
          </cell>
        </row>
        <row r="415">
          <cell r="A415">
            <v>56297</v>
          </cell>
          <cell r="B415" t="str">
            <v>NORD OVEST</v>
          </cell>
          <cell r="C415" t="str">
            <v>LOMBARDIA</v>
          </cell>
          <cell r="D415" t="str">
            <v>BERGAMO</v>
          </cell>
          <cell r="E415" t="str">
            <v>SAN PAOLO D'ARGON</v>
          </cell>
          <cell r="F415" t="str">
            <v>SS 42</v>
          </cell>
          <cell r="G415">
            <v>44917</v>
          </cell>
          <cell r="H415" t="str">
            <v>Disattivo</v>
          </cell>
        </row>
        <row r="416">
          <cell r="A416">
            <v>58000</v>
          </cell>
          <cell r="B416" t="str">
            <v>NORD EST</v>
          </cell>
          <cell r="C416" t="str">
            <v>EMILIA-ROMAGNA</v>
          </cell>
          <cell r="D416" t="str">
            <v>MODENA</v>
          </cell>
          <cell r="E416" t="str">
            <v>MIRANDOLA</v>
          </cell>
          <cell r="F416" t="str">
            <v>SS. SUD</v>
          </cell>
          <cell r="G416">
            <v>44874</v>
          </cell>
          <cell r="H416" t="str">
            <v>Attivo</v>
          </cell>
        </row>
        <row r="417">
          <cell r="A417">
            <v>58351</v>
          </cell>
          <cell r="B417" t="str">
            <v>CENTRO</v>
          </cell>
          <cell r="C417" t="str">
            <v>LAZIO</v>
          </cell>
          <cell r="D417" t="str">
            <v>ROMA</v>
          </cell>
          <cell r="E417" t="str">
            <v>VALMONTONE</v>
          </cell>
          <cell r="F417" t="str">
            <v>VIA CASILINA KM 41</v>
          </cell>
          <cell r="G417">
            <v>44837</v>
          </cell>
          <cell r="H417" t="str">
            <v>Attivo</v>
          </cell>
        </row>
        <row r="418">
          <cell r="A418">
            <v>80008</v>
          </cell>
          <cell r="B418" t="str">
            <v>CENTRO</v>
          </cell>
          <cell r="C418" t="str">
            <v>LAZIO</v>
          </cell>
          <cell r="D418" t="str">
            <v>ROMA</v>
          </cell>
          <cell r="E418" t="str">
            <v>ROMA</v>
          </cell>
          <cell r="F418" t="str">
            <v>CORSO FRANCIA</v>
          </cell>
          <cell r="G418">
            <v>45014</v>
          </cell>
          <cell r="H418" t="str">
            <v>Attivo</v>
          </cell>
        </row>
        <row r="419">
          <cell r="A419">
            <v>0</v>
          </cell>
          <cell r="B419" t="str">
            <v>-</v>
          </cell>
          <cell r="C419" t="str">
            <v>-</v>
          </cell>
          <cell r="D419" t="str">
            <v>-</v>
          </cell>
          <cell r="E419" t="str">
            <v>-</v>
          </cell>
          <cell r="F419" t="str">
            <v>-</v>
          </cell>
          <cell r="G419" t="str">
            <v>-</v>
          </cell>
          <cell r="H419" t="str">
            <v>-</v>
          </cell>
        </row>
        <row r="420">
          <cell r="A420">
            <v>15</v>
          </cell>
          <cell r="B420" t="str">
            <v>NORD OVEST</v>
          </cell>
          <cell r="C420" t="str">
            <v>VALLE D'AOSTA</v>
          </cell>
          <cell r="D420" t="str">
            <v>AOSTA</v>
          </cell>
          <cell r="E420" t="str">
            <v>COURMAYEUR</v>
          </cell>
          <cell r="F420" t="str">
            <v>STRADA TRAFORO DEL MONTE BIANCO SNC</v>
          </cell>
          <cell r="G420">
            <v>44218</v>
          </cell>
          <cell r="H420" t="str">
            <v>Attivo</v>
          </cell>
        </row>
        <row r="421">
          <cell r="A421">
            <v>259</v>
          </cell>
          <cell r="B421" t="str">
            <v>NORD OVEST</v>
          </cell>
          <cell r="C421" t="str">
            <v>PIEMONTE</v>
          </cell>
          <cell r="D421" t="str">
            <v>CUNEO</v>
          </cell>
          <cell r="E421" t="str">
            <v>TETTO GARETTO</v>
          </cell>
          <cell r="F421" t="str">
            <v>VIA SAVONA 82 - LOC. TETTO GARETTO</v>
          </cell>
          <cell r="G421">
            <v>44078</v>
          </cell>
          <cell r="H421" t="str">
            <v>Attivo</v>
          </cell>
        </row>
        <row r="422">
          <cell r="A422">
            <v>284</v>
          </cell>
          <cell r="B422" t="str">
            <v>NORD OVEST</v>
          </cell>
          <cell r="C422" t="str">
            <v>PIEMONTE</v>
          </cell>
          <cell r="D422" t="str">
            <v>CUNEO</v>
          </cell>
          <cell r="E422" t="str">
            <v>BRA</v>
          </cell>
          <cell r="F422" t="str">
            <v>VIA CUNEO ANG. VIA ROSSELLI 136</v>
          </cell>
          <cell r="G422">
            <v>45979</v>
          </cell>
          <cell r="H422" t="str">
            <v>Attivo</v>
          </cell>
        </row>
        <row r="423">
          <cell r="A423">
            <v>350</v>
          </cell>
          <cell r="B423" t="str">
            <v>NORD OVEST</v>
          </cell>
          <cell r="C423" t="str">
            <v>PIEMONTE</v>
          </cell>
          <cell r="D423" t="str">
            <v>CUNEO</v>
          </cell>
          <cell r="E423" t="str">
            <v>BORGO SAN DALMAZZO</v>
          </cell>
          <cell r="F423" t="str">
            <v>C.SO BARALE</v>
          </cell>
          <cell r="G423">
            <v>44876</v>
          </cell>
          <cell r="H423" t="str">
            <v>Attivo</v>
          </cell>
        </row>
        <row r="424">
          <cell r="A424">
            <v>352</v>
          </cell>
          <cell r="B424" t="str">
            <v>NORD OVEST</v>
          </cell>
          <cell r="C424" t="str">
            <v>PIEMONTE</v>
          </cell>
          <cell r="D424" t="str">
            <v>NOVARA</v>
          </cell>
          <cell r="E424" t="str">
            <v>BORGOMANERO</v>
          </cell>
          <cell r="F424" t="str">
            <v>VIA NOVARA</v>
          </cell>
          <cell r="G424">
            <v>44686</v>
          </cell>
          <cell r="H424" t="str">
            <v>Disattivo</v>
          </cell>
        </row>
        <row r="425">
          <cell r="A425">
            <v>425</v>
          </cell>
          <cell r="B425" t="str">
            <v>NORD OVEST</v>
          </cell>
          <cell r="C425" t="str">
            <v>PIEMONTE</v>
          </cell>
          <cell r="D425" t="str">
            <v>NOVARA</v>
          </cell>
          <cell r="E425" t="str">
            <v>NOVARA</v>
          </cell>
          <cell r="F425" t="str">
            <v>CORSO RISORGIMENTO</v>
          </cell>
          <cell r="G425">
            <v>44879</v>
          </cell>
          <cell r="H425" t="str">
            <v>Disattivo</v>
          </cell>
        </row>
        <row r="426">
          <cell r="A426">
            <v>501</v>
          </cell>
          <cell r="B426" t="str">
            <v>NORD OVEST</v>
          </cell>
          <cell r="C426" t="str">
            <v>PIEMONTE</v>
          </cell>
          <cell r="D426" t="str">
            <v>TORINO</v>
          </cell>
          <cell r="E426" t="str">
            <v>TORINO</v>
          </cell>
          <cell r="F426" t="str">
            <v>LARGO TIRRENO 0123</v>
          </cell>
          <cell r="G426">
            <v>45091</v>
          </cell>
          <cell r="H426" t="str">
            <v>Attivo</v>
          </cell>
        </row>
        <row r="427">
          <cell r="A427">
            <v>607</v>
          </cell>
          <cell r="B427" t="str">
            <v>NORD OVEST</v>
          </cell>
          <cell r="C427" t="str">
            <v>PIEMONTE</v>
          </cell>
          <cell r="D427" t="str">
            <v>TORINO</v>
          </cell>
          <cell r="E427" t="str">
            <v>COLLEGNO</v>
          </cell>
          <cell r="F427" t="str">
            <v>CORSO FRANCIA 6</v>
          </cell>
          <cell r="G427">
            <v>44064</v>
          </cell>
          <cell r="H427" t="str">
            <v>Disattivo</v>
          </cell>
        </row>
        <row r="428">
          <cell r="A428">
            <v>753</v>
          </cell>
          <cell r="B428" t="str">
            <v>NORD OVEST</v>
          </cell>
          <cell r="C428" t="str">
            <v>PIEMONTE</v>
          </cell>
          <cell r="D428" t="str">
            <v>TORINO</v>
          </cell>
          <cell r="E428" t="str">
            <v>ORBASSANO</v>
          </cell>
          <cell r="F428" t="str">
            <v>CIRCONV TO/PIOSSASCO</v>
          </cell>
          <cell r="G428">
            <v>44879</v>
          </cell>
          <cell r="H428" t="str">
            <v>Disattivo</v>
          </cell>
        </row>
        <row r="429">
          <cell r="A429">
            <v>926</v>
          </cell>
          <cell r="B429" t="str">
            <v>NORD OVEST</v>
          </cell>
          <cell r="C429" t="str">
            <v>PIEMONTE</v>
          </cell>
          <cell r="D429" t="str">
            <v>TORINO</v>
          </cell>
          <cell r="E429" t="str">
            <v>GASSINO TORINESE</v>
          </cell>
          <cell r="F429" t="str">
            <v>STRADA CHIVASSO, 24</v>
          </cell>
          <cell r="G429">
            <v>45456</v>
          </cell>
          <cell r="H429" t="str">
            <v>Disattivo</v>
          </cell>
        </row>
        <row r="430">
          <cell r="A430">
            <v>978</v>
          </cell>
          <cell r="B430" t="str">
            <v>NORD OVEST</v>
          </cell>
          <cell r="C430" t="str">
            <v>PIEMONTE</v>
          </cell>
          <cell r="D430" t="str">
            <v>TORINO</v>
          </cell>
          <cell r="E430" t="str">
            <v>COLLEGNO</v>
          </cell>
          <cell r="F430" t="str">
            <v>C.SO SACCO E VANZETTI  (DIR. SUD)  9</v>
          </cell>
          <cell r="G430">
            <v>44719</v>
          </cell>
          <cell r="H430" t="str">
            <v>Attivo</v>
          </cell>
        </row>
        <row r="431">
          <cell r="A431">
            <v>1283</v>
          </cell>
          <cell r="B431" t="str">
            <v>NORD OVEST</v>
          </cell>
          <cell r="C431" t="str">
            <v>LIGURIA</v>
          </cell>
          <cell r="D431" t="str">
            <v>LA SPEZIA</v>
          </cell>
          <cell r="E431" t="str">
            <v>SARZANA</v>
          </cell>
          <cell r="F431" t="str">
            <v>LOCALITA' MONTECAVALLO - VIA AURELIA 67/A</v>
          </cell>
          <cell r="G431">
            <v>44144</v>
          </cell>
          <cell r="H431" t="str">
            <v>Attivo</v>
          </cell>
        </row>
        <row r="432">
          <cell r="A432">
            <v>1300</v>
          </cell>
          <cell r="B432" t="str">
            <v>CENTRO</v>
          </cell>
          <cell r="C432" t="str">
            <v>TOSCANA</v>
          </cell>
          <cell r="D432" t="str">
            <v>LIVORNO</v>
          </cell>
          <cell r="E432" t="str">
            <v>COLLESALVETTI</v>
          </cell>
          <cell r="F432" t="str">
            <v>P.TA FIORENTINA</v>
          </cell>
          <cell r="G432">
            <v>44169</v>
          </cell>
          <cell r="H432" t="str">
            <v>Disattivo</v>
          </cell>
        </row>
        <row r="433">
          <cell r="A433">
            <v>1339</v>
          </cell>
          <cell r="B433" t="str">
            <v>NORD OVEST</v>
          </cell>
          <cell r="C433" t="str">
            <v>LIGURIA</v>
          </cell>
          <cell r="D433" t="str">
            <v>SAVONA</v>
          </cell>
          <cell r="E433" t="str">
            <v>ALASSIO</v>
          </cell>
          <cell r="F433" t="str">
            <v>SAN GIOVANNI BOSCO</v>
          </cell>
          <cell r="G433">
            <v>45113</v>
          </cell>
          <cell r="H433" t="str">
            <v>Disattivo</v>
          </cell>
        </row>
        <row r="434">
          <cell r="A434">
            <v>1481</v>
          </cell>
          <cell r="B434" t="str">
            <v>NORD OVEST</v>
          </cell>
          <cell r="C434" t="str">
            <v>PIEMONTE</v>
          </cell>
          <cell r="D434" t="str">
            <v>ASTI</v>
          </cell>
          <cell r="E434" t="str">
            <v>VILLAFRANCA D'ASTI</v>
          </cell>
          <cell r="F434" t="str">
            <v>REGIONE PIEVE N.47</v>
          </cell>
          <cell r="G434">
            <v>44285</v>
          </cell>
          <cell r="H434" t="str">
            <v>Attivo</v>
          </cell>
        </row>
        <row r="435">
          <cell r="A435">
            <v>1522</v>
          </cell>
          <cell r="B435" t="str">
            <v>NORD OVEST</v>
          </cell>
          <cell r="C435" t="str">
            <v>LOMBARDIA</v>
          </cell>
          <cell r="D435" t="str">
            <v>BERGAMO</v>
          </cell>
          <cell r="E435" t="str">
            <v>CASAZZA</v>
          </cell>
          <cell r="F435" t="str">
            <v>VIA NAZIONALE 25</v>
          </cell>
          <cell r="G435">
            <v>44223</v>
          </cell>
          <cell r="H435" t="str">
            <v>Disattivo</v>
          </cell>
        </row>
        <row r="436">
          <cell r="A436">
            <v>1525</v>
          </cell>
          <cell r="B436" t="str">
            <v>NORD OVEST</v>
          </cell>
          <cell r="C436" t="str">
            <v>LOMBARDIA</v>
          </cell>
          <cell r="D436" t="str">
            <v>BERGAMO</v>
          </cell>
          <cell r="E436" t="str">
            <v>GAZZANIGA</v>
          </cell>
          <cell r="F436" t="str">
            <v>CESARE BATTISTI</v>
          </cell>
          <cell r="G436">
            <v>44706</v>
          </cell>
          <cell r="H436" t="str">
            <v>Attivo</v>
          </cell>
        </row>
        <row r="437">
          <cell r="A437">
            <v>1561</v>
          </cell>
          <cell r="B437" t="str">
            <v>NORD OVEST</v>
          </cell>
          <cell r="C437" t="str">
            <v>LOMBARDIA</v>
          </cell>
          <cell r="D437" t="str">
            <v>BERGAMO</v>
          </cell>
          <cell r="E437" t="str">
            <v>PONTIROLO NUOVO</v>
          </cell>
          <cell r="F437" t="str">
            <v>STR PROVLE N 12</v>
          </cell>
          <cell r="G437">
            <v>44693</v>
          </cell>
          <cell r="H437" t="str">
            <v>Attivo</v>
          </cell>
        </row>
        <row r="438">
          <cell r="A438">
            <v>1578</v>
          </cell>
          <cell r="B438" t="str">
            <v>NORD OVEST</v>
          </cell>
          <cell r="C438" t="str">
            <v>LOMBARDIA</v>
          </cell>
          <cell r="D438" t="str">
            <v>BERGAMO</v>
          </cell>
          <cell r="E438" t="str">
            <v>VERDELLO</v>
          </cell>
          <cell r="F438" t="str">
            <v>S S 42</v>
          </cell>
          <cell r="G438">
            <v>44704</v>
          </cell>
          <cell r="H438" t="str">
            <v>Disattivo</v>
          </cell>
        </row>
        <row r="439">
          <cell r="A439">
            <v>1639</v>
          </cell>
          <cell r="B439" t="str">
            <v>NORD OVEST</v>
          </cell>
          <cell r="C439" t="str">
            <v>LOMBARDIA</v>
          </cell>
          <cell r="D439" t="str">
            <v>BERGAMO</v>
          </cell>
          <cell r="E439" t="str">
            <v>PIANICO</v>
          </cell>
          <cell r="F439" t="str">
            <v>SS 42 KM 57.700</v>
          </cell>
          <cell r="G439">
            <v>44844</v>
          </cell>
          <cell r="H439" t="str">
            <v>Disattivo</v>
          </cell>
        </row>
        <row r="440">
          <cell r="A440">
            <v>1649</v>
          </cell>
          <cell r="B440" t="str">
            <v>-</v>
          </cell>
          <cell r="C440" t="str">
            <v>-</v>
          </cell>
          <cell r="D440" t="str">
            <v>-</v>
          </cell>
          <cell r="E440" t="str">
            <v>-</v>
          </cell>
          <cell r="F440" t="str">
            <v>-</v>
          </cell>
          <cell r="G440">
            <v>45278</v>
          </cell>
          <cell r="H440" t="str">
            <v>-</v>
          </cell>
        </row>
        <row r="441">
          <cell r="A441">
            <v>1658</v>
          </cell>
          <cell r="B441" t="str">
            <v>NORD OVEST</v>
          </cell>
          <cell r="C441" t="str">
            <v>LOMBARDIA</v>
          </cell>
          <cell r="D441" t="str">
            <v>BRESCIA</v>
          </cell>
          <cell r="E441" t="str">
            <v>BRESCIA</v>
          </cell>
          <cell r="F441" t="str">
            <v>VIA LAMARMORA  150</v>
          </cell>
          <cell r="G441">
            <v>45742</v>
          </cell>
          <cell r="H441" t="str">
            <v>Disattivo</v>
          </cell>
        </row>
        <row r="442">
          <cell r="A442">
            <v>1671</v>
          </cell>
          <cell r="B442" t="str">
            <v>NORD OVEST</v>
          </cell>
          <cell r="C442" t="str">
            <v>LOMBARDIA</v>
          </cell>
          <cell r="D442" t="str">
            <v>BRESCIA</v>
          </cell>
          <cell r="E442" t="str">
            <v>BRESCIA</v>
          </cell>
          <cell r="F442" t="str">
            <v>VIALE BORNATA</v>
          </cell>
          <cell r="G442">
            <v>45113</v>
          </cell>
          <cell r="H442" t="str">
            <v>Disattivo</v>
          </cell>
        </row>
        <row r="443">
          <cell r="A443">
            <v>1691</v>
          </cell>
          <cell r="B443" t="str">
            <v>NORD OVEST</v>
          </cell>
          <cell r="C443" t="str">
            <v>LOMBARDIA</v>
          </cell>
          <cell r="D443" t="str">
            <v>BRESCIA</v>
          </cell>
          <cell r="E443" t="str">
            <v>CELLATICA</v>
          </cell>
          <cell r="F443" t="str">
            <v>ST PR BRESCIA BRIO</v>
          </cell>
          <cell r="G443">
            <v>44820</v>
          </cell>
          <cell r="H443" t="str">
            <v>Attivo</v>
          </cell>
        </row>
        <row r="444">
          <cell r="A444">
            <v>1706</v>
          </cell>
          <cell r="B444" t="str">
            <v>-</v>
          </cell>
          <cell r="C444" t="str">
            <v>-</v>
          </cell>
          <cell r="D444" t="str">
            <v>-</v>
          </cell>
          <cell r="E444" t="str">
            <v>-</v>
          </cell>
          <cell r="F444" t="str">
            <v>-</v>
          </cell>
          <cell r="G444">
            <v>45700</v>
          </cell>
          <cell r="H444" t="str">
            <v>-</v>
          </cell>
        </row>
        <row r="445">
          <cell r="A445">
            <v>1718</v>
          </cell>
          <cell r="B445" t="str">
            <v>NORD OVEST</v>
          </cell>
          <cell r="C445" t="str">
            <v>LOMBARDIA</v>
          </cell>
          <cell r="D445" t="str">
            <v>BRESCIA</v>
          </cell>
          <cell r="E445" t="str">
            <v>PONTEVICO</v>
          </cell>
          <cell r="F445" t="str">
            <v>SS 45 BIS KM 16+700</v>
          </cell>
          <cell r="G445">
            <v>44814</v>
          </cell>
          <cell r="H445" t="str">
            <v>Attivo</v>
          </cell>
        </row>
        <row r="446">
          <cell r="A446">
            <v>1858</v>
          </cell>
          <cell r="B446" t="str">
            <v>NORD OVEST</v>
          </cell>
          <cell r="C446" t="str">
            <v>LOMBARDIA</v>
          </cell>
          <cell r="D446" t="str">
            <v>COMO</v>
          </cell>
          <cell r="E446" t="str">
            <v>BREGNANO</v>
          </cell>
          <cell r="F446" t="str">
            <v>S.P. 31  DELLA PIODA - VIA MILANO  79</v>
          </cell>
          <cell r="G446">
            <v>44692</v>
          </cell>
          <cell r="H446" t="str">
            <v>Disattivo</v>
          </cell>
        </row>
        <row r="447">
          <cell r="A447">
            <v>1923</v>
          </cell>
          <cell r="B447" t="str">
            <v>NORD OVEST</v>
          </cell>
          <cell r="C447" t="str">
            <v>LOMBARDIA</v>
          </cell>
          <cell r="D447" t="str">
            <v>COMO</v>
          </cell>
          <cell r="E447" t="str">
            <v>CANTÙ</v>
          </cell>
          <cell r="F447" t="str">
            <v>RONCO VIA VERGANI</v>
          </cell>
          <cell r="G447">
            <v>44691</v>
          </cell>
          <cell r="H447" t="str">
            <v>Disattivo</v>
          </cell>
        </row>
        <row r="448">
          <cell r="A448">
            <v>2053</v>
          </cell>
          <cell r="B448" t="str">
            <v>NORD OVEST</v>
          </cell>
          <cell r="C448" t="str">
            <v>LOMBARDIA</v>
          </cell>
          <cell r="D448" t="str">
            <v>MANTOVA</v>
          </cell>
          <cell r="E448" t="str">
            <v>BAGNOLO SAN VITO</v>
          </cell>
          <cell r="F448" t="str">
            <v>VIA ROMANA ZAITA 68</v>
          </cell>
          <cell r="G448">
            <v>44278</v>
          </cell>
          <cell r="H448" t="str">
            <v>Disattivo</v>
          </cell>
        </row>
        <row r="449">
          <cell r="A449">
            <v>2074</v>
          </cell>
          <cell r="B449" t="str">
            <v>NORD OVEST</v>
          </cell>
          <cell r="C449" t="str">
            <v>LOMBARDIA</v>
          </cell>
          <cell r="D449" t="str">
            <v>MANTOVA</v>
          </cell>
          <cell r="E449" t="str">
            <v>GOITO</v>
          </cell>
          <cell r="F449" t="str">
            <v>S.S. N. 236 KM 14+332</v>
          </cell>
          <cell r="G449">
            <v>45968</v>
          </cell>
          <cell r="H449" t="str">
            <v>Attivo</v>
          </cell>
        </row>
        <row r="450">
          <cell r="A450">
            <v>2075</v>
          </cell>
          <cell r="B450" t="str">
            <v>NORD OVEST</v>
          </cell>
          <cell r="C450" t="str">
            <v>LOMBARDIA</v>
          </cell>
          <cell r="D450" t="str">
            <v>MANTOVA</v>
          </cell>
          <cell r="E450" t="str">
            <v>SUZZARA</v>
          </cell>
          <cell r="F450" t="str">
            <v>S.S. N. 62 CISA - LOCALITA' CROCILE C.M.</v>
          </cell>
          <cell r="G450">
            <v>44168</v>
          </cell>
          <cell r="H450" t="str">
            <v>Attivo</v>
          </cell>
        </row>
        <row r="451">
          <cell r="A451">
            <v>2222</v>
          </cell>
          <cell r="B451" t="str">
            <v>NORD OVEST</v>
          </cell>
          <cell r="C451" t="str">
            <v>LOMBARDIA</v>
          </cell>
          <cell r="D451" t="str">
            <v>MILANO</v>
          </cell>
          <cell r="E451" t="str">
            <v>MILANO</v>
          </cell>
          <cell r="F451" t="str">
            <v>VIA MURAT 14</v>
          </cell>
          <cell r="G451">
            <v>45533</v>
          </cell>
          <cell r="H451" t="str">
            <v>Attivo</v>
          </cell>
        </row>
        <row r="452">
          <cell r="A452">
            <v>2414</v>
          </cell>
          <cell r="B452" t="str">
            <v>NORD OVEST</v>
          </cell>
          <cell r="C452" t="str">
            <v>LOMBARDIA</v>
          </cell>
          <cell r="D452" t="str">
            <v>MILANO</v>
          </cell>
          <cell r="E452" t="str">
            <v>SETTALA</v>
          </cell>
          <cell r="F452" t="str">
            <v>VIA CERCA  FRAZ.CALEPPIO 21</v>
          </cell>
          <cell r="G452">
            <v>44693</v>
          </cell>
          <cell r="H452" t="str">
            <v>Disattivo</v>
          </cell>
        </row>
        <row r="453">
          <cell r="A453">
            <v>2667</v>
          </cell>
          <cell r="B453" t="str">
            <v>NORD EST</v>
          </cell>
          <cell r="C453" t="str">
            <v>EMILIA-ROMAGNA</v>
          </cell>
          <cell r="D453" t="str">
            <v>PIACENZA</v>
          </cell>
          <cell r="E453" t="str">
            <v>PIACENZA</v>
          </cell>
          <cell r="F453" t="str">
            <v>VIA MANFREDI 74 IMP. 2667</v>
          </cell>
          <cell r="G453">
            <v>46161</v>
          </cell>
          <cell r="H453" t="str">
            <v>Disattivo</v>
          </cell>
        </row>
        <row r="454">
          <cell r="A454">
            <v>2766</v>
          </cell>
          <cell r="B454" t="str">
            <v>NORD OVEST</v>
          </cell>
          <cell r="C454" t="str">
            <v>LOMBARDIA</v>
          </cell>
          <cell r="D454" t="str">
            <v>SONDRIO</v>
          </cell>
          <cell r="E454" t="str">
            <v>SONDRIO</v>
          </cell>
          <cell r="F454" t="str">
            <v>CA' BIANCA SS 39</v>
          </cell>
          <cell r="G454">
            <v>44711</v>
          </cell>
          <cell r="H454" t="str">
            <v>Attivo</v>
          </cell>
        </row>
        <row r="455">
          <cell r="A455">
            <v>2945</v>
          </cell>
          <cell r="B455" t="str">
            <v>NORD EST</v>
          </cell>
          <cell r="C455" t="str">
            <v>EMILIA-ROMAGNA</v>
          </cell>
          <cell r="D455" t="str">
            <v>PARMA</v>
          </cell>
          <cell r="E455" t="str">
            <v>PARMA</v>
          </cell>
          <cell r="F455" t="str">
            <v>VIA EMILIA EST</v>
          </cell>
          <cell r="G455">
            <v>44875</v>
          </cell>
          <cell r="H455" t="str">
            <v>Disattivo</v>
          </cell>
        </row>
        <row r="456">
          <cell r="A456">
            <v>2970</v>
          </cell>
          <cell r="B456" t="str">
            <v>NORD EST</v>
          </cell>
          <cell r="C456" t="str">
            <v>EMILIA-ROMAGNA</v>
          </cell>
          <cell r="D456" t="str">
            <v>PARMA</v>
          </cell>
          <cell r="E456" t="str">
            <v>FIDENZA</v>
          </cell>
          <cell r="F456" t="str">
            <v>VIA XXIV MAGGIO</v>
          </cell>
          <cell r="G456">
            <v>44874</v>
          </cell>
          <cell r="H456" t="str">
            <v>Disattivo</v>
          </cell>
        </row>
        <row r="457">
          <cell r="A457">
            <v>3465</v>
          </cell>
          <cell r="B457" t="str">
            <v>NORD EST</v>
          </cell>
          <cell r="C457" t="str">
            <v>TRENTINO-ALTO ADIGE</v>
          </cell>
          <cell r="D457" t="str">
            <v>TRENTO</v>
          </cell>
          <cell r="E457" t="str">
            <v>ALA</v>
          </cell>
          <cell r="F457" t="str">
            <v>S.S. 12 KM 337+947 SNC</v>
          </cell>
          <cell r="G457">
            <v>44852</v>
          </cell>
          <cell r="H457" t="str">
            <v>Disattivo</v>
          </cell>
        </row>
        <row r="458">
          <cell r="A458">
            <v>3538</v>
          </cell>
          <cell r="B458" t="str">
            <v>NORD EST</v>
          </cell>
          <cell r="C458" t="str">
            <v>TRENTINO-ALTO ADIGE</v>
          </cell>
          <cell r="D458" t="str">
            <v>TRENTO</v>
          </cell>
          <cell r="E458" t="str">
            <v>TRENTO</v>
          </cell>
          <cell r="F458" t="str">
            <v>VIALE VERONA</v>
          </cell>
          <cell r="G458">
            <v>44706</v>
          </cell>
          <cell r="H458" t="str">
            <v>Disattivo</v>
          </cell>
        </row>
        <row r="459">
          <cell r="A459">
            <v>3734</v>
          </cell>
          <cell r="B459" t="str">
            <v>NORD EST</v>
          </cell>
          <cell r="C459" t="str">
            <v>VENETO</v>
          </cell>
          <cell r="D459" t="str">
            <v>VENEZIA</v>
          </cell>
          <cell r="E459" t="str">
            <v>MUSILE DI PIAVE</v>
          </cell>
          <cell r="F459" t="str">
            <v>VIALE MARCONI 48</v>
          </cell>
          <cell r="G459">
            <v>44617</v>
          </cell>
          <cell r="H459" t="str">
            <v>Attivo</v>
          </cell>
        </row>
        <row r="460">
          <cell r="A460">
            <v>3816</v>
          </cell>
          <cell r="B460" t="str">
            <v>NORD EST</v>
          </cell>
          <cell r="C460" t="str">
            <v>VENETO</v>
          </cell>
          <cell r="D460" t="str">
            <v>VERONA</v>
          </cell>
          <cell r="E460" t="str">
            <v>SONA</v>
          </cell>
          <cell r="F460" t="str">
            <v>LOCALITA' CIVEL 1</v>
          </cell>
          <cell r="G460">
            <v>44146</v>
          </cell>
          <cell r="H460" t="str">
            <v>Disattivo</v>
          </cell>
        </row>
        <row r="461">
          <cell r="A461">
            <v>3826</v>
          </cell>
          <cell r="B461" t="str">
            <v>NORD EST</v>
          </cell>
          <cell r="C461" t="str">
            <v>VENETO</v>
          </cell>
          <cell r="D461" t="str">
            <v>VERONA</v>
          </cell>
          <cell r="E461" t="str">
            <v>VERONA</v>
          </cell>
          <cell r="F461" t="str">
            <v>VIA CAMPAGNOL DI TOMBETTA 6</v>
          </cell>
          <cell r="G461">
            <v>45824</v>
          </cell>
          <cell r="H461" t="str">
            <v>Attivo</v>
          </cell>
        </row>
        <row r="462">
          <cell r="A462">
            <v>3961</v>
          </cell>
          <cell r="B462" t="str">
            <v>NORD EST</v>
          </cell>
          <cell r="C462" t="str">
            <v>VENETO</v>
          </cell>
          <cell r="D462" t="str">
            <v>VICENZA</v>
          </cell>
          <cell r="E462" t="str">
            <v>VICENZA</v>
          </cell>
          <cell r="F462" t="str">
            <v>VIALE SAN LAZZARO 106</v>
          </cell>
          <cell r="G462">
            <v>45960</v>
          </cell>
          <cell r="H462" t="str">
            <v>Attivo</v>
          </cell>
        </row>
        <row r="463">
          <cell r="A463">
            <v>3993</v>
          </cell>
          <cell r="B463" t="str">
            <v>NORD EST</v>
          </cell>
          <cell r="C463" t="str">
            <v>VENETO</v>
          </cell>
          <cell r="D463" t="str">
            <v>VICENZA</v>
          </cell>
          <cell r="E463" t="str">
            <v>VICENZA</v>
          </cell>
          <cell r="F463" t="str">
            <v>VIA J. DAL VERME 188 189</v>
          </cell>
          <cell r="G463">
            <v>45960</v>
          </cell>
          <cell r="H463" t="str">
            <v>Attivo</v>
          </cell>
        </row>
        <row r="464">
          <cell r="A464">
            <v>4051</v>
          </cell>
          <cell r="B464" t="str">
            <v>NORD EST</v>
          </cell>
          <cell r="C464" t="str">
            <v>FRIULI VENEZIA GIULIA</v>
          </cell>
          <cell r="D464" t="str">
            <v>TRIESTE</v>
          </cell>
          <cell r="E464" t="str">
            <v>TRIESTE</v>
          </cell>
          <cell r="F464" t="str">
            <v>ALFONSO VALERIO 0001</v>
          </cell>
          <cell r="G464">
            <v>44144</v>
          </cell>
          <cell r="H464" t="str">
            <v>Disattivo</v>
          </cell>
        </row>
        <row r="465">
          <cell r="A465">
            <v>4840</v>
          </cell>
          <cell r="B465" t="str">
            <v>CENTRO</v>
          </cell>
          <cell r="C465" t="str">
            <v>TOSCANA</v>
          </cell>
          <cell r="D465" t="str">
            <v>FIRENZE</v>
          </cell>
          <cell r="E465" t="str">
            <v>BARBERINO DI MUGELLO</v>
          </cell>
          <cell r="F465" t="str">
            <v>VIALE GRAMSCI 25</v>
          </cell>
          <cell r="G465">
            <v>44691</v>
          </cell>
          <cell r="H465" t="str">
            <v>Disattivo</v>
          </cell>
        </row>
        <row r="466">
          <cell r="A466">
            <v>5055</v>
          </cell>
          <cell r="B466" t="str">
            <v>CENTRO</v>
          </cell>
          <cell r="C466" t="str">
            <v>TOSCANA</v>
          </cell>
          <cell r="D466" t="str">
            <v>LIVORNO</v>
          </cell>
          <cell r="E466" t="str">
            <v>COLLESALVETTI</v>
          </cell>
          <cell r="F466" t="str">
            <v>FRAZ-STAGNO SS-1</v>
          </cell>
          <cell r="G466">
            <v>45692</v>
          </cell>
          <cell r="H466" t="str">
            <v>Attivo</v>
          </cell>
        </row>
        <row r="467">
          <cell r="A467">
            <v>5160</v>
          </cell>
          <cell r="B467" t="str">
            <v>CENTRO</v>
          </cell>
          <cell r="C467" t="str">
            <v>TOSCANA</v>
          </cell>
          <cell r="D467" t="str">
            <v>LUCCA</v>
          </cell>
          <cell r="E467" t="str">
            <v>BORGO A MOZZANO</v>
          </cell>
          <cell r="F467" t="str">
            <v>VIA DELLA FONTANA 4/5</v>
          </cell>
          <cell r="G467">
            <v>44321</v>
          </cell>
          <cell r="H467" t="str">
            <v>Disattivo</v>
          </cell>
        </row>
        <row r="468">
          <cell r="A468">
            <v>5241</v>
          </cell>
          <cell r="B468" t="str">
            <v>CENTRO</v>
          </cell>
          <cell r="C468" t="str">
            <v>TOSCANA</v>
          </cell>
          <cell r="D468" t="str">
            <v>PISA</v>
          </cell>
          <cell r="E468" t="str">
            <v>SAN GIULIANO TERME</v>
          </cell>
          <cell r="F468" t="str">
            <v>LOC. MADONNA DELL'ACQUA - SS AURELIA KM 339 + 79</v>
          </cell>
          <cell r="G468">
            <v>45819</v>
          </cell>
          <cell r="H468" t="str">
            <v>Disattivo</v>
          </cell>
        </row>
        <row r="469">
          <cell r="A469">
            <v>5511</v>
          </cell>
          <cell r="B469" t="str">
            <v>NORD EST</v>
          </cell>
          <cell r="C469" t="str">
            <v>EMILIA-ROMAGNA</v>
          </cell>
          <cell r="D469" t="str">
            <v>BOLOGNA</v>
          </cell>
          <cell r="E469" t="str">
            <v>MEDICINA</v>
          </cell>
          <cell r="F469" t="str">
            <v>VIA S.VITALE OVEST 209</v>
          </cell>
          <cell r="G469">
            <v>44844</v>
          </cell>
          <cell r="H469" t="str">
            <v>Disattivo</v>
          </cell>
        </row>
        <row r="470">
          <cell r="A470">
            <v>5512</v>
          </cell>
          <cell r="B470" t="str">
            <v>NORD EST</v>
          </cell>
          <cell r="C470" t="str">
            <v>EMILIA-ROMAGNA</v>
          </cell>
          <cell r="D470" t="str">
            <v>BOLOGNA</v>
          </cell>
          <cell r="E470" t="str">
            <v>CASTEL SAN PIETRO TERME</v>
          </cell>
          <cell r="F470" t="str">
            <v>VIA EMILIA PONENTE 210</v>
          </cell>
          <cell r="G470">
            <v>44687</v>
          </cell>
          <cell r="H470" t="str">
            <v>Disattivo</v>
          </cell>
        </row>
        <row r="471">
          <cell r="A471">
            <v>5713</v>
          </cell>
          <cell r="B471" t="str">
            <v>NORD EST</v>
          </cell>
          <cell r="C471" t="str">
            <v>MARCHE</v>
          </cell>
          <cell r="D471" t="str">
            <v>ANCONA</v>
          </cell>
          <cell r="E471" t="str">
            <v>OSIMO</v>
          </cell>
          <cell r="F471" t="str">
            <v>VIA MARCO POLO 238</v>
          </cell>
          <cell r="G471">
            <v>45111</v>
          </cell>
          <cell r="H471" t="str">
            <v>Attivo</v>
          </cell>
        </row>
        <row r="472">
          <cell r="A472">
            <v>5861</v>
          </cell>
          <cell r="B472" t="str">
            <v>NORD EST</v>
          </cell>
          <cell r="C472" t="str">
            <v>EMILIA-ROMAGNA</v>
          </cell>
          <cell r="D472" t="str">
            <v>FERRARA</v>
          </cell>
          <cell r="E472" t="str">
            <v>COPPARO</v>
          </cell>
          <cell r="F472" t="str">
            <v>VIA PRIMICELLO 26</v>
          </cell>
          <cell r="G472">
            <v>45122</v>
          </cell>
          <cell r="H472" t="str">
            <v>Disattivo</v>
          </cell>
        </row>
        <row r="473">
          <cell r="A473">
            <v>5887</v>
          </cell>
          <cell r="B473" t="str">
            <v>NORD EST</v>
          </cell>
          <cell r="C473" t="str">
            <v>EMILIA-ROMAGNA</v>
          </cell>
          <cell r="D473" t="str">
            <v>FERRARA</v>
          </cell>
          <cell r="E473" t="str">
            <v>FERRARA</v>
          </cell>
          <cell r="F473" t="str">
            <v>VIA MODENA, 236/P</v>
          </cell>
          <cell r="G473">
            <v>44679</v>
          </cell>
          <cell r="H473" t="str">
            <v>Attivo</v>
          </cell>
        </row>
        <row r="474">
          <cell r="A474">
            <v>5918</v>
          </cell>
          <cell r="B474" t="str">
            <v>NORD EST</v>
          </cell>
          <cell r="C474" t="str">
            <v>EMILIA-ROMAGNA</v>
          </cell>
          <cell r="D474" t="str">
            <v>RIMINI</v>
          </cell>
          <cell r="E474" t="str">
            <v>SANTARCANGELO DI ROMAGNA</v>
          </cell>
          <cell r="F474" t="str">
            <v>VIA EMILIA, 1837</v>
          </cell>
          <cell r="G474">
            <v>44082</v>
          </cell>
          <cell r="H474" t="str">
            <v>Attivo</v>
          </cell>
        </row>
        <row r="475">
          <cell r="A475">
            <v>6128</v>
          </cell>
          <cell r="B475" t="str">
            <v>NORD EST</v>
          </cell>
          <cell r="C475" t="str">
            <v>MARCHE</v>
          </cell>
          <cell r="D475" t="str">
            <v>PESARO E URBINO</v>
          </cell>
          <cell r="E475" t="str">
            <v>PESARO</v>
          </cell>
          <cell r="F475" t="str">
            <v>STRADA DELLE REGIONI KM 6 + 531</v>
          </cell>
          <cell r="G475">
            <v>44690</v>
          </cell>
          <cell r="H475" t="str">
            <v>Disattivo</v>
          </cell>
        </row>
        <row r="476">
          <cell r="A476">
            <v>6148</v>
          </cell>
          <cell r="B476" t="str">
            <v>NORD EST</v>
          </cell>
          <cell r="C476" t="str">
            <v>MARCHE</v>
          </cell>
          <cell r="D476" t="str">
            <v>PESARO E URBINO</v>
          </cell>
          <cell r="E476" t="str">
            <v>CAGLI</v>
          </cell>
          <cell r="F476" t="str">
            <v>VIA FLAMINIA</v>
          </cell>
          <cell r="G476">
            <v>45865</v>
          </cell>
          <cell r="H476" t="str">
            <v>Disattivo</v>
          </cell>
        </row>
        <row r="477">
          <cell r="A477">
            <v>6353</v>
          </cell>
          <cell r="B477" t="str">
            <v>NORD EST</v>
          </cell>
          <cell r="C477" t="str">
            <v>EMILIA-ROMAGNA</v>
          </cell>
          <cell r="D477" t="str">
            <v>MODENA</v>
          </cell>
          <cell r="E477" t="str">
            <v>MODENA</v>
          </cell>
          <cell r="F477" t="str">
            <v>TANGENZIALE NORD LUIGI PIRANDELLO 49/51</v>
          </cell>
          <cell r="G477">
            <v>44148</v>
          </cell>
          <cell r="H477" t="str">
            <v>Disattivo</v>
          </cell>
        </row>
        <row r="478">
          <cell r="A478">
            <v>6408</v>
          </cell>
          <cell r="B478" t="str">
            <v>NORD EST</v>
          </cell>
          <cell r="C478" t="str">
            <v>EMILIA-ROMAGNA</v>
          </cell>
          <cell r="D478" t="str">
            <v>REGGIO EMILIA</v>
          </cell>
          <cell r="E478" t="str">
            <v>CORREGGIO</v>
          </cell>
          <cell r="F478" t="str">
            <v>REPUBBLICA 12</v>
          </cell>
          <cell r="G478">
            <v>44837</v>
          </cell>
          <cell r="H478" t="str">
            <v>Disattivo</v>
          </cell>
        </row>
        <row r="479">
          <cell r="A479">
            <v>6520</v>
          </cell>
          <cell r="B479" t="str">
            <v>CENTRO</v>
          </cell>
          <cell r="C479" t="str">
            <v>ABRUZZO</v>
          </cell>
          <cell r="D479" t="str">
            <v>L'AQUILA</v>
          </cell>
          <cell r="E479" t="str">
            <v>SULMONA</v>
          </cell>
          <cell r="F479" t="str">
            <v>VIALE DELLA REPUBBLICA 8</v>
          </cell>
          <cell r="G479">
            <v>44147</v>
          </cell>
          <cell r="H479" t="str">
            <v>Disattivo</v>
          </cell>
        </row>
        <row r="480">
          <cell r="A480">
            <v>6642</v>
          </cell>
          <cell r="B480" t="str">
            <v>CENTRO</v>
          </cell>
          <cell r="C480" t="str">
            <v>LAZIO</v>
          </cell>
          <cell r="D480" t="str">
            <v>FROSINONE</v>
          </cell>
          <cell r="E480" t="str">
            <v>CASTROCIELO</v>
          </cell>
          <cell r="F480" t="str">
            <v>S.P. LEUCIANA KM 2+670</v>
          </cell>
          <cell r="G480">
            <v>44846</v>
          </cell>
          <cell r="H480" t="str">
            <v>Disattivo</v>
          </cell>
        </row>
        <row r="481">
          <cell r="A481">
            <v>6659</v>
          </cell>
          <cell r="B481" t="str">
            <v>CENTRO</v>
          </cell>
          <cell r="C481" t="str">
            <v>LAZIO</v>
          </cell>
          <cell r="D481" t="str">
            <v>FROSINONE</v>
          </cell>
          <cell r="E481" t="str">
            <v>SAN VITTORE DEL LAZIO</v>
          </cell>
          <cell r="F481" t="str">
            <v>SS 430 KM 0.525</v>
          </cell>
          <cell r="G481">
            <v>44043</v>
          </cell>
          <cell r="H481" t="str">
            <v>Attivo</v>
          </cell>
        </row>
        <row r="482">
          <cell r="A482">
            <v>6812</v>
          </cell>
          <cell r="B482" t="str">
            <v>NORD EST</v>
          </cell>
          <cell r="C482" t="str">
            <v>MARCHE</v>
          </cell>
          <cell r="D482" t="str">
            <v>MACERATA</v>
          </cell>
          <cell r="E482" t="str">
            <v>MONTECOSARO</v>
          </cell>
          <cell r="F482" t="str">
            <v>SS 485 KM8+126 STAZ.DI MONTECOSARO</v>
          </cell>
          <cell r="G482">
            <v>44691</v>
          </cell>
          <cell r="H482" t="str">
            <v>Disattivo</v>
          </cell>
        </row>
        <row r="483">
          <cell r="A483">
            <v>6883</v>
          </cell>
          <cell r="B483" t="str">
            <v>CENTRO</v>
          </cell>
          <cell r="C483" t="str">
            <v>ABRUZZO</v>
          </cell>
          <cell r="D483" t="str">
            <v>PESCARA</v>
          </cell>
          <cell r="E483" t="str">
            <v>PESCARA</v>
          </cell>
          <cell r="F483" t="str">
            <v>SS-5 KM-231+700</v>
          </cell>
          <cell r="G483">
            <v>44225</v>
          </cell>
          <cell r="H483" t="str">
            <v>Disattivo</v>
          </cell>
        </row>
        <row r="484">
          <cell r="A484">
            <v>6892</v>
          </cell>
          <cell r="B484" t="str">
            <v>CENTRO</v>
          </cell>
          <cell r="C484" t="str">
            <v>ABRUZZO</v>
          </cell>
          <cell r="D484" t="str">
            <v>PESCARA</v>
          </cell>
          <cell r="E484" t="str">
            <v>MANOPPELLO</v>
          </cell>
          <cell r="F484" t="str">
            <v>STR-ST-5 TIBURTINA</v>
          </cell>
          <cell r="G484">
            <v>44825</v>
          </cell>
          <cell r="H484" t="str">
            <v>Disattivo</v>
          </cell>
        </row>
        <row r="485">
          <cell r="A485">
            <v>6947</v>
          </cell>
          <cell r="B485" t="str">
            <v>CENTRO</v>
          </cell>
          <cell r="C485" t="str">
            <v>LAZIO</v>
          </cell>
          <cell r="D485" t="str">
            <v>ROMA</v>
          </cell>
          <cell r="E485" t="str">
            <v>ROMA</v>
          </cell>
          <cell r="F485" t="str">
            <v>VIA OSTIENSE 333</v>
          </cell>
          <cell r="G485">
            <v>44707</v>
          </cell>
          <cell r="H485" t="str">
            <v>Attivo</v>
          </cell>
        </row>
        <row r="486">
          <cell r="A486">
            <v>7164</v>
          </cell>
          <cell r="B486" t="str">
            <v>CENTRO</v>
          </cell>
          <cell r="C486" t="str">
            <v>LAZIO</v>
          </cell>
          <cell r="D486" t="str">
            <v>ROMA</v>
          </cell>
          <cell r="E486" t="str">
            <v>CASTEL GANDOLFO</v>
          </cell>
          <cell r="F486" t="str">
            <v>VIA APPIA KM 24,600 SNC 0012</v>
          </cell>
          <cell r="G486">
            <v>45960</v>
          </cell>
          <cell r="H486" t="str">
            <v>Disattivo</v>
          </cell>
        </row>
        <row r="487">
          <cell r="A487">
            <v>7224</v>
          </cell>
          <cell r="B487" t="str">
            <v>CENTRO</v>
          </cell>
          <cell r="C487" t="str">
            <v>LAZIO</v>
          </cell>
          <cell r="D487" t="str">
            <v>ROMA</v>
          </cell>
          <cell r="E487" t="str">
            <v>ROMA</v>
          </cell>
          <cell r="F487" t="str">
            <v>CIRCONVALLAZIONE GIANICOLENSE 340</v>
          </cell>
          <cell r="G487">
            <v>44048</v>
          </cell>
          <cell r="H487" t="str">
            <v>Attivo</v>
          </cell>
        </row>
        <row r="488">
          <cell r="A488">
            <v>7287</v>
          </cell>
          <cell r="B488" t="str">
            <v>NORD EST</v>
          </cell>
          <cell r="C488" t="str">
            <v>MARCHE</v>
          </cell>
          <cell r="D488" t="str">
            <v>ASCOLI PICENO</v>
          </cell>
          <cell r="E488" t="str">
            <v>SAN BENEDETTO DEL TRONTO</v>
          </cell>
          <cell r="F488" t="str">
            <v>VIA DELLA LIBERAZIONE SNC</v>
          </cell>
          <cell r="G488">
            <v>45203</v>
          </cell>
          <cell r="H488" t="str">
            <v>Attivo</v>
          </cell>
        </row>
        <row r="489">
          <cell r="A489">
            <v>7390</v>
          </cell>
          <cell r="B489" t="str">
            <v>CENTRO</v>
          </cell>
          <cell r="C489" t="str">
            <v>ABRUZZO</v>
          </cell>
          <cell r="D489" t="str">
            <v>TERAMO</v>
          </cell>
          <cell r="E489" t="str">
            <v>TERAMO</v>
          </cell>
          <cell r="F489" t="str">
            <v>SS 80 KM 77+842</v>
          </cell>
          <cell r="G489">
            <v>44706</v>
          </cell>
          <cell r="H489" t="str">
            <v>Attivo</v>
          </cell>
        </row>
        <row r="490">
          <cell r="A490">
            <v>7429</v>
          </cell>
          <cell r="B490" t="str">
            <v>CENTRO</v>
          </cell>
          <cell r="C490" t="str">
            <v>UMBRIA</v>
          </cell>
          <cell r="D490" t="str">
            <v>TERNI</v>
          </cell>
          <cell r="E490" t="str">
            <v>FABRO</v>
          </cell>
          <cell r="F490" t="str">
            <v>AUT. A1 DIR.MILANO/ROMA KM 428</v>
          </cell>
          <cell r="G490">
            <v>45124</v>
          </cell>
          <cell r="H490" t="str">
            <v>Attivo</v>
          </cell>
        </row>
        <row r="491">
          <cell r="A491">
            <v>8530</v>
          </cell>
          <cell r="B491" t="str">
            <v>SUD</v>
          </cell>
          <cell r="C491" t="str">
            <v>CALABRIA</v>
          </cell>
          <cell r="D491" t="str">
            <v>CATANZARO</v>
          </cell>
          <cell r="E491" t="str">
            <v>CATANZARO</v>
          </cell>
          <cell r="F491" t="str">
            <v>VIADOTTO FIUMARELLA - VIA GIOACCHINO DA FIORE SN</v>
          </cell>
          <cell r="G491">
            <v>44674</v>
          </cell>
          <cell r="H491" t="str">
            <v>Attivo</v>
          </cell>
        </row>
        <row r="492">
          <cell r="A492">
            <v>9092</v>
          </cell>
          <cell r="B492" t="str">
            <v>SUD</v>
          </cell>
          <cell r="C492" t="str">
            <v>PUGLIA</v>
          </cell>
          <cell r="D492" t="str">
            <v>BARLETTA ANDRIA TRANI</v>
          </cell>
          <cell r="E492" t="str">
            <v>ANDRIA</v>
          </cell>
          <cell r="F492" t="str">
            <v>VIA PALMIRO TOGLIATTI 57/A</v>
          </cell>
          <cell r="G492">
            <v>44224</v>
          </cell>
          <cell r="H492" t="str">
            <v>Attivo</v>
          </cell>
        </row>
        <row r="493">
          <cell r="A493">
            <v>9119</v>
          </cell>
          <cell r="B493" t="str">
            <v>SUD</v>
          </cell>
          <cell r="C493" t="str">
            <v>PUGLIA</v>
          </cell>
          <cell r="D493" t="str">
            <v>BARI</v>
          </cell>
          <cell r="E493" t="str">
            <v>BARI</v>
          </cell>
          <cell r="F493" t="str">
            <v>VIA BITRITTO KM 4+197</v>
          </cell>
          <cell r="G493">
            <v>44720</v>
          </cell>
          <cell r="H493" t="str">
            <v>Attivo</v>
          </cell>
        </row>
        <row r="494">
          <cell r="A494">
            <v>9123</v>
          </cell>
          <cell r="B494" t="str">
            <v>SUD</v>
          </cell>
          <cell r="C494" t="str">
            <v>PUGLIA</v>
          </cell>
          <cell r="D494" t="str">
            <v>BARI</v>
          </cell>
          <cell r="E494" t="str">
            <v>TERLIZZI</v>
          </cell>
          <cell r="F494" t="str">
            <v>MOLFETTA</v>
          </cell>
          <cell r="G494">
            <v>44875</v>
          </cell>
          <cell r="H494" t="str">
            <v>Disattivo</v>
          </cell>
        </row>
        <row r="495">
          <cell r="A495">
            <v>9125</v>
          </cell>
          <cell r="B495" t="str">
            <v>SUD</v>
          </cell>
          <cell r="C495" t="str">
            <v>PUGLIA</v>
          </cell>
          <cell r="D495" t="str">
            <v>BARI</v>
          </cell>
          <cell r="E495" t="str">
            <v>BITONTO</v>
          </cell>
          <cell r="F495" t="str">
            <v>VIALE LE GIOVANNI XXIII 84</v>
          </cell>
          <cell r="G495">
            <v>44226</v>
          </cell>
          <cell r="H495" t="str">
            <v>Disattivo</v>
          </cell>
        </row>
        <row r="496">
          <cell r="A496">
            <v>9237</v>
          </cell>
          <cell r="B496" t="str">
            <v>SUD</v>
          </cell>
          <cell r="C496" t="str">
            <v>PUGLIA</v>
          </cell>
          <cell r="D496" t="str">
            <v>FOGGIA</v>
          </cell>
          <cell r="E496" t="str">
            <v>SAN SEVERO</v>
          </cell>
          <cell r="F496" t="str">
            <v>VIA GIUSTINO FORTUNATO SNC</v>
          </cell>
          <cell r="G496">
            <v>44207</v>
          </cell>
          <cell r="H496" t="str">
            <v>Attivo</v>
          </cell>
        </row>
        <row r="497">
          <cell r="A497">
            <v>9242</v>
          </cell>
          <cell r="B497" t="str">
            <v>SUD</v>
          </cell>
          <cell r="C497" t="str">
            <v>PUGLIA</v>
          </cell>
          <cell r="D497" t="str">
            <v>FOGGIA</v>
          </cell>
          <cell r="E497" t="str">
            <v>SAN GIOVANNI ROTONDO</v>
          </cell>
          <cell r="F497" t="str">
            <v>S.S.273 KM. 0+483</v>
          </cell>
          <cell r="G497">
            <v>44721</v>
          </cell>
          <cell r="H497" t="str">
            <v>Disattivo</v>
          </cell>
        </row>
        <row r="498">
          <cell r="A498">
            <v>9284</v>
          </cell>
          <cell r="B498" t="str">
            <v>SUD</v>
          </cell>
          <cell r="C498" t="str">
            <v>PUGLIA</v>
          </cell>
          <cell r="D498" t="str">
            <v>FOGGIA</v>
          </cell>
          <cell r="E498" t="str">
            <v>MANFREDONIA</v>
          </cell>
          <cell r="F498" t="str">
            <v>VIALE DI VITTORIO SN</v>
          </cell>
          <cell r="G498">
            <v>45975</v>
          </cell>
          <cell r="H498" t="str">
            <v>Attivo</v>
          </cell>
        </row>
        <row r="499">
          <cell r="A499">
            <v>9297</v>
          </cell>
          <cell r="B499" t="str">
            <v>SUD</v>
          </cell>
          <cell r="C499" t="str">
            <v>PUGLIA</v>
          </cell>
          <cell r="D499" t="str">
            <v>FOGGIA</v>
          </cell>
          <cell r="E499" t="str">
            <v>LUCERA</v>
          </cell>
          <cell r="F499" t="str">
            <v>VIA FOGGIA S.S. 17 KM. 321+811 SN</v>
          </cell>
          <cell r="G499">
            <v>44721</v>
          </cell>
          <cell r="H499" t="str">
            <v>Disattivo</v>
          </cell>
        </row>
        <row r="500">
          <cell r="A500">
            <v>9424</v>
          </cell>
          <cell r="B500" t="str">
            <v>SUD</v>
          </cell>
          <cell r="C500" t="str">
            <v>PUGLIA</v>
          </cell>
          <cell r="D500" t="str">
            <v>TARANTO</v>
          </cell>
          <cell r="E500" t="str">
            <v>MASSAFRA</v>
          </cell>
          <cell r="F500" t="str">
            <v>SS.7 KM.633+976 S.N.</v>
          </cell>
          <cell r="G500">
            <v>44956</v>
          </cell>
          <cell r="H500" t="str">
            <v>Disattivo</v>
          </cell>
        </row>
        <row r="501">
          <cell r="A501">
            <v>10241</v>
          </cell>
          <cell r="B501" t="str">
            <v>NORD OVEST</v>
          </cell>
          <cell r="C501" t="str">
            <v>PIEMONTE</v>
          </cell>
          <cell r="D501" t="str">
            <v>CUNEO</v>
          </cell>
          <cell r="E501" t="str">
            <v>ALBA</v>
          </cell>
          <cell r="F501" t="str">
            <v>C.SO M. COPPINO N° 54</v>
          </cell>
          <cell r="G501">
            <v>45113</v>
          </cell>
          <cell r="H501" t="str">
            <v>Disattivo</v>
          </cell>
        </row>
        <row r="502">
          <cell r="A502">
            <v>11295</v>
          </cell>
          <cell r="B502" t="str">
            <v>CENTRO</v>
          </cell>
          <cell r="C502" t="str">
            <v>TOSCANA</v>
          </cell>
          <cell r="D502" t="str">
            <v>MASSA CARRARA</v>
          </cell>
          <cell r="E502" t="str">
            <v>MONTIGNOSO</v>
          </cell>
          <cell r="F502" t="str">
            <v>VIA AURELIA KM 376 LOC. DEBBIA</v>
          </cell>
          <cell r="G502">
            <v>46101</v>
          </cell>
          <cell r="H502" t="str">
            <v>Attivo</v>
          </cell>
        </row>
        <row r="503">
          <cell r="A503">
            <v>11348</v>
          </cell>
          <cell r="B503" t="str">
            <v>NORD OVEST</v>
          </cell>
          <cell r="C503" t="str">
            <v>LIGURIA</v>
          </cell>
          <cell r="D503" t="str">
            <v>SAVONA</v>
          </cell>
          <cell r="E503" t="str">
            <v>VADO LIGURE</v>
          </cell>
          <cell r="F503" t="str">
            <v>VIA AURELIA 256</v>
          </cell>
          <cell r="G503">
            <v>46066</v>
          </cell>
          <cell r="H503" t="str">
            <v>Attivo</v>
          </cell>
        </row>
        <row r="504">
          <cell r="A504">
            <v>11726</v>
          </cell>
          <cell r="B504" t="str">
            <v>NORD OVEST</v>
          </cell>
          <cell r="C504" t="str">
            <v>LOMBARDIA</v>
          </cell>
          <cell r="D504" t="str">
            <v>BRESCIA</v>
          </cell>
          <cell r="E504" t="str">
            <v>REZZATO</v>
          </cell>
          <cell r="F504" t="str">
            <v>S.S.45 KM.49+300</v>
          </cell>
          <cell r="G504">
            <v>44203</v>
          </cell>
          <cell r="H504" t="str">
            <v>Attivo</v>
          </cell>
        </row>
        <row r="505">
          <cell r="A505">
            <v>13240</v>
          </cell>
          <cell r="B505" t="str">
            <v>NORD EST</v>
          </cell>
          <cell r="C505" t="str">
            <v>VENETO</v>
          </cell>
          <cell r="D505" t="str">
            <v>PADOVA</v>
          </cell>
          <cell r="E505" t="str">
            <v>PADOVA</v>
          </cell>
          <cell r="F505" t="str">
            <v>C.SO 1 MAGGIO</v>
          </cell>
          <cell r="G505">
            <v>44578</v>
          </cell>
          <cell r="H505" t="str">
            <v>Attivo</v>
          </cell>
        </row>
        <row r="506">
          <cell r="A506">
            <v>13623</v>
          </cell>
          <cell r="B506" t="str">
            <v>NORD EST</v>
          </cell>
          <cell r="C506" t="str">
            <v>VENETO</v>
          </cell>
          <cell r="D506" t="str">
            <v>TREVISO</v>
          </cell>
          <cell r="E506" t="str">
            <v>VITTORIO VENETO</v>
          </cell>
          <cell r="F506" t="str">
            <v>VIA S.ANTONIO DA PADOVA SS 51</v>
          </cell>
          <cell r="G506">
            <v>44603</v>
          </cell>
          <cell r="H506" t="str">
            <v>Attivo</v>
          </cell>
        </row>
        <row r="507">
          <cell r="A507">
            <v>13834</v>
          </cell>
          <cell r="B507" t="str">
            <v>NORD EST</v>
          </cell>
          <cell r="C507" t="str">
            <v>VENETO</v>
          </cell>
          <cell r="D507" t="str">
            <v>VERONA</v>
          </cell>
          <cell r="E507" t="str">
            <v>ISOLA RIZZA</v>
          </cell>
          <cell r="F507" t="str">
            <v>VIA MUSELLE S.S.434 KM 22+224</v>
          </cell>
          <cell r="G507">
            <v>44161</v>
          </cell>
          <cell r="H507" t="str">
            <v>Disattivo</v>
          </cell>
        </row>
        <row r="508">
          <cell r="A508">
            <v>13862</v>
          </cell>
          <cell r="B508" t="str">
            <v>NORD EST</v>
          </cell>
          <cell r="C508" t="str">
            <v>VENETO</v>
          </cell>
          <cell r="D508" t="str">
            <v>VERONA</v>
          </cell>
          <cell r="E508" t="str">
            <v>VALEGGIO SUL MINCIO</v>
          </cell>
          <cell r="F508" t="str">
            <v>VIA VILLAFRANCA 357</v>
          </cell>
          <cell r="G508">
            <v>44166</v>
          </cell>
          <cell r="H508" t="str">
            <v>Disattivo</v>
          </cell>
        </row>
        <row r="509">
          <cell r="A509">
            <v>14321</v>
          </cell>
          <cell r="B509" t="str">
            <v>NORD EST</v>
          </cell>
          <cell r="C509" t="str">
            <v>FRIULI VENEZIA GIULIA</v>
          </cell>
          <cell r="D509" t="str">
            <v>PORDENONE</v>
          </cell>
          <cell r="E509" t="str">
            <v>SPILIMBERGO</v>
          </cell>
          <cell r="F509" t="str">
            <v>VIA DELL'OSPEDALE</v>
          </cell>
          <cell r="G509">
            <v>45541</v>
          </cell>
          <cell r="H509" t="str">
            <v>Disattivo</v>
          </cell>
        </row>
        <row r="510">
          <cell r="A510">
            <v>14730</v>
          </cell>
          <cell r="B510" t="str">
            <v>CENTRO</v>
          </cell>
          <cell r="C510" t="str">
            <v>TOSCANA</v>
          </cell>
          <cell r="D510" t="str">
            <v>FIRENZE</v>
          </cell>
          <cell r="E510" t="str">
            <v>FIRENZE</v>
          </cell>
          <cell r="F510" t="str">
            <v>VIALE ETRURIA, 403</v>
          </cell>
          <cell r="G510">
            <v>44033</v>
          </cell>
          <cell r="H510" t="str">
            <v>Disattivo</v>
          </cell>
        </row>
        <row r="511">
          <cell r="A511">
            <v>15548</v>
          </cell>
          <cell r="B511" t="str">
            <v>NORD EST</v>
          </cell>
          <cell r="C511" t="str">
            <v>EMILIA-ROMAGNA</v>
          </cell>
          <cell r="D511" t="str">
            <v>BOLOGNA</v>
          </cell>
          <cell r="E511" t="str">
            <v>PIANORO</v>
          </cell>
          <cell r="F511" t="str">
            <v>S.S.65 KM.94+340</v>
          </cell>
          <cell r="G511">
            <v>44844</v>
          </cell>
          <cell r="H511" t="str">
            <v>Disattivo</v>
          </cell>
        </row>
        <row r="512">
          <cell r="A512">
            <v>15552</v>
          </cell>
          <cell r="B512" t="str">
            <v>NORD EST</v>
          </cell>
          <cell r="C512" t="str">
            <v>EMILIA-ROMAGNA</v>
          </cell>
          <cell r="D512" t="str">
            <v>BOLOGNA</v>
          </cell>
          <cell r="E512" t="str">
            <v>IMOLA</v>
          </cell>
          <cell r="F512" t="str">
            <v>VIALE D AGOSTINO 141</v>
          </cell>
          <cell r="G512">
            <v>44846</v>
          </cell>
          <cell r="H512" t="str">
            <v>Disattivo</v>
          </cell>
        </row>
        <row r="513">
          <cell r="A513">
            <v>15572</v>
          </cell>
          <cell r="B513" t="str">
            <v>NORD EST</v>
          </cell>
          <cell r="C513" t="str">
            <v>EMILIA-ROMAGNA</v>
          </cell>
          <cell r="D513" t="str">
            <v>BOLOGNA</v>
          </cell>
          <cell r="E513" t="str">
            <v>MOLINELLA</v>
          </cell>
          <cell r="F513" t="str">
            <v>VIA PROVINCIALE SUPERIORE</v>
          </cell>
          <cell r="G513">
            <v>44896</v>
          </cell>
          <cell r="H513" t="str">
            <v>Disattivo</v>
          </cell>
        </row>
        <row r="514">
          <cell r="A514">
            <v>15621</v>
          </cell>
          <cell r="B514" t="str">
            <v>NORD EST</v>
          </cell>
          <cell r="C514" t="str">
            <v>EMILIA-ROMAGNA</v>
          </cell>
          <cell r="D514" t="str">
            <v>RAVENNA</v>
          </cell>
          <cell r="E514" t="str">
            <v>RAVENNA</v>
          </cell>
          <cell r="F514" t="str">
            <v>TRIESTE 0290</v>
          </cell>
          <cell r="G514">
            <v>46001</v>
          </cell>
          <cell r="H514" t="str">
            <v>Attivo</v>
          </cell>
        </row>
        <row r="515">
          <cell r="A515">
            <v>16572</v>
          </cell>
          <cell r="B515" t="str">
            <v>CENTRO</v>
          </cell>
          <cell r="C515" t="str">
            <v>ABRUZZO</v>
          </cell>
          <cell r="D515" t="str">
            <v>L'AQUILA</v>
          </cell>
          <cell r="E515" t="str">
            <v>ORICOLA</v>
          </cell>
          <cell r="F515" t="str">
            <v>S.S.TIBURTINA VALERIA KM. 68+300</v>
          </cell>
          <cell r="G515">
            <v>45699</v>
          </cell>
          <cell r="H515" t="str">
            <v>Attivo</v>
          </cell>
        </row>
        <row r="516">
          <cell r="A516">
            <v>16949</v>
          </cell>
          <cell r="B516" t="str">
            <v>CENTRO</v>
          </cell>
          <cell r="C516" t="str">
            <v>LAZIO</v>
          </cell>
          <cell r="D516" t="str">
            <v>ROMA</v>
          </cell>
          <cell r="E516" t="str">
            <v>ROMA</v>
          </cell>
          <cell r="F516" t="str">
            <v>VIA DI PONTE GALERIA  SNC - VIA DI PONTE GALERIA SNC</v>
          </cell>
          <cell r="G516">
            <v>44053</v>
          </cell>
          <cell r="H516" t="str">
            <v>Attivo</v>
          </cell>
        </row>
        <row r="517">
          <cell r="A517">
            <v>18478</v>
          </cell>
          <cell r="B517" t="str">
            <v>SUD</v>
          </cell>
          <cell r="C517" t="str">
            <v>CAMPANIA</v>
          </cell>
          <cell r="D517" t="str">
            <v>CASERTA</v>
          </cell>
          <cell r="E517" t="str">
            <v>MADDALONI</v>
          </cell>
          <cell r="F517" t="str">
            <v>VIA CALABRICITO LOC. BALZA</v>
          </cell>
          <cell r="G517">
            <v>45449</v>
          </cell>
          <cell r="H517" t="str">
            <v>Disattivo</v>
          </cell>
        </row>
        <row r="518">
          <cell r="A518">
            <v>19740</v>
          </cell>
          <cell r="B518" t="str">
            <v>SUD</v>
          </cell>
          <cell r="C518" t="str">
            <v>SICILIA</v>
          </cell>
          <cell r="D518" t="str">
            <v>PALERMO</v>
          </cell>
          <cell r="E518" t="str">
            <v>BAGHERIA</v>
          </cell>
          <cell r="F518" t="str">
            <v>VIA PASSO DEL CARRETTO, 86/A</v>
          </cell>
          <cell r="G518">
            <v>44627</v>
          </cell>
          <cell r="H518" t="str">
            <v>Disattivo</v>
          </cell>
        </row>
        <row r="519">
          <cell r="A519">
            <v>19805</v>
          </cell>
          <cell r="B519" t="str">
            <v>SUD</v>
          </cell>
          <cell r="C519" t="str">
            <v>SICILIA</v>
          </cell>
          <cell r="D519" t="str">
            <v>PALERMO</v>
          </cell>
          <cell r="E519" t="str">
            <v>TERMINI IMERESE</v>
          </cell>
          <cell r="F519" t="str">
            <v>A19 ADS CARACOLI NORD</v>
          </cell>
          <cell r="G519">
            <v>45820</v>
          </cell>
          <cell r="H519" t="str">
            <v>Disattivo</v>
          </cell>
        </row>
        <row r="520">
          <cell r="A520">
            <v>19873</v>
          </cell>
          <cell r="B520" t="str">
            <v>SUD</v>
          </cell>
          <cell r="C520" t="str">
            <v>SICILIA</v>
          </cell>
          <cell r="D520" t="str">
            <v>SIRACUSA</v>
          </cell>
          <cell r="E520" t="str">
            <v>SIRACUSA</v>
          </cell>
          <cell r="F520" t="str">
            <v>S.S. 115 KM. 407+254 C/DA PANTANELLI S.N.</v>
          </cell>
          <cell r="G520">
            <v>44629</v>
          </cell>
          <cell r="H520" t="str">
            <v>Attivo</v>
          </cell>
        </row>
        <row r="521">
          <cell r="A521">
            <v>22966</v>
          </cell>
          <cell r="B521" t="str">
            <v>NORD EST</v>
          </cell>
          <cell r="C521" t="str">
            <v>EMILIA-ROMAGNA</v>
          </cell>
          <cell r="D521" t="str">
            <v>PARMA</v>
          </cell>
          <cell r="E521" t="str">
            <v>BERCETO</v>
          </cell>
          <cell r="F521" t="str">
            <v>SS 308 KM. 20+148 LOC. GHIARE</v>
          </cell>
          <cell r="G521">
            <v>46015</v>
          </cell>
          <cell r="H521" t="str">
            <v>Attivo</v>
          </cell>
        </row>
        <row r="522">
          <cell r="A522">
            <v>22973</v>
          </cell>
          <cell r="B522" t="str">
            <v>NORD EST</v>
          </cell>
          <cell r="C522" t="str">
            <v>EMILIA-ROMAGNA</v>
          </cell>
          <cell r="D522" t="str">
            <v>PARMA</v>
          </cell>
          <cell r="E522" t="str">
            <v>FIDENZA</v>
          </cell>
          <cell r="F522" t="str">
            <v>SP SORAGNA</v>
          </cell>
          <cell r="G522">
            <v>46160</v>
          </cell>
          <cell r="H522" t="str">
            <v>Attivo</v>
          </cell>
        </row>
        <row r="523">
          <cell r="A523">
            <v>23973</v>
          </cell>
          <cell r="B523" t="str">
            <v>NORD EST</v>
          </cell>
          <cell r="C523" t="str">
            <v>VENETO</v>
          </cell>
          <cell r="D523" t="str">
            <v>VICENZA</v>
          </cell>
          <cell r="E523" t="str">
            <v>MUSSOLENTE</v>
          </cell>
          <cell r="F523" t="str">
            <v>VIA DANTE ALIGHIERI 47</v>
          </cell>
          <cell r="G523">
            <v>46155</v>
          </cell>
          <cell r="H523" t="str">
            <v>Attivo</v>
          </cell>
        </row>
        <row r="524">
          <cell r="A524">
            <v>25518</v>
          </cell>
          <cell r="B524" t="str">
            <v>NORD EST</v>
          </cell>
          <cell r="C524" t="str">
            <v>EMILIA-ROMAGNA</v>
          </cell>
          <cell r="D524" t="str">
            <v>BOLOGNA</v>
          </cell>
          <cell r="E524" t="str">
            <v>CASALECCHIO DI RENO</v>
          </cell>
          <cell r="F524" t="str">
            <v>AUTOSTRADA A1 - DIR. BOLOGNA</v>
          </cell>
          <cell r="G524">
            <v>45127</v>
          </cell>
          <cell r="H524" t="str">
            <v>Attivo</v>
          </cell>
        </row>
        <row r="525">
          <cell r="A525">
            <v>26646</v>
          </cell>
          <cell r="B525" t="str">
            <v>CENTRO</v>
          </cell>
          <cell r="C525" t="str">
            <v>LAZIO</v>
          </cell>
          <cell r="D525" t="str">
            <v>FROSINONE</v>
          </cell>
          <cell r="E525" t="str">
            <v>FERENTINO</v>
          </cell>
          <cell r="F525" t="str">
            <v>VIA CONSORTILE ASI 7</v>
          </cell>
          <cell r="G525">
            <v>44901</v>
          </cell>
          <cell r="H525" t="str">
            <v>Disattivo</v>
          </cell>
        </row>
        <row r="526">
          <cell r="A526">
            <v>26866</v>
          </cell>
          <cell r="B526" t="str">
            <v>CENTRO</v>
          </cell>
          <cell r="C526" t="str">
            <v>ABRUZZO</v>
          </cell>
          <cell r="D526" t="str">
            <v>PESCARA</v>
          </cell>
          <cell r="E526" t="str">
            <v>PENNE</v>
          </cell>
          <cell r="F526" t="str">
            <v>VIA G. ROSSA</v>
          </cell>
          <cell r="G526">
            <v>46048</v>
          </cell>
          <cell r="H526" t="str">
            <v>Attivo</v>
          </cell>
        </row>
        <row r="527">
          <cell r="A527">
            <v>27183</v>
          </cell>
          <cell r="B527" t="str">
            <v>CENTRO</v>
          </cell>
          <cell r="C527" t="str">
            <v>LAZIO</v>
          </cell>
          <cell r="D527" t="str">
            <v>ROMA</v>
          </cell>
          <cell r="E527" t="str">
            <v>ROMA</v>
          </cell>
          <cell r="F527" t="str">
            <v>V. DON P. BORGHI ANG.JACH</v>
          </cell>
          <cell r="G527">
            <v>44581</v>
          </cell>
          <cell r="H527" t="str">
            <v>Disattivo</v>
          </cell>
        </row>
        <row r="528">
          <cell r="A528">
            <v>34001</v>
          </cell>
          <cell r="B528" t="str">
            <v>CENTRO</v>
          </cell>
          <cell r="C528" t="str">
            <v>TOSCANA</v>
          </cell>
          <cell r="D528" t="str">
            <v>SIENA</v>
          </cell>
          <cell r="E528" t="str">
            <v>SIENA</v>
          </cell>
          <cell r="F528" t="str">
            <v>TANGENZIALE OVEST KM. 5,287</v>
          </cell>
          <cell r="G528">
            <v>44203</v>
          </cell>
          <cell r="H528" t="str">
            <v>Attivo</v>
          </cell>
        </row>
        <row r="529">
          <cell r="A529">
            <v>34601</v>
          </cell>
          <cell r="B529" t="str">
            <v>CENTRO</v>
          </cell>
          <cell r="C529" t="str">
            <v>TOSCANA</v>
          </cell>
          <cell r="D529" t="str">
            <v>AREZZO</v>
          </cell>
          <cell r="E529" t="str">
            <v>AREZZO</v>
          </cell>
          <cell r="F529" t="str">
            <v>RACCORDO ANULARE AREZZO-BATTIFOLLE  S.S.679  KM 7</v>
          </cell>
          <cell r="G529">
            <v>44853</v>
          </cell>
          <cell r="H529" t="str">
            <v>Attivo</v>
          </cell>
        </row>
        <row r="530">
          <cell r="A530">
            <v>36961</v>
          </cell>
          <cell r="B530" t="str">
            <v>CENTRO</v>
          </cell>
          <cell r="C530" t="str">
            <v>LAZIO</v>
          </cell>
          <cell r="D530" t="str">
            <v>ROMA</v>
          </cell>
          <cell r="E530" t="str">
            <v>ROMA</v>
          </cell>
          <cell r="F530" t="str">
            <v>S.P. 493 BRACCIANESE KM.11,500</v>
          </cell>
          <cell r="G530">
            <v>44635</v>
          </cell>
          <cell r="H530" t="str">
            <v>Disattivo</v>
          </cell>
        </row>
        <row r="531">
          <cell r="A531">
            <v>36979</v>
          </cell>
          <cell r="B531" t="str">
            <v>CENTRO</v>
          </cell>
          <cell r="C531" t="str">
            <v>LAZIO</v>
          </cell>
          <cell r="D531" t="str">
            <v>ROMA</v>
          </cell>
          <cell r="E531" t="str">
            <v>CAPENA</v>
          </cell>
          <cell r="F531" t="str">
            <v>VIA TIBERINA KM. 17  250</v>
          </cell>
          <cell r="G531">
            <v>44911</v>
          </cell>
          <cell r="H531" t="str">
            <v>Disattivo</v>
          </cell>
        </row>
        <row r="532">
          <cell r="A532">
            <v>37019</v>
          </cell>
          <cell r="B532" t="str">
            <v>CENTRO</v>
          </cell>
          <cell r="C532" t="str">
            <v>LAZIO</v>
          </cell>
          <cell r="D532" t="str">
            <v>ROMA</v>
          </cell>
          <cell r="E532" t="str">
            <v>ROMA</v>
          </cell>
          <cell r="F532" t="str">
            <v>VIA PARIDE STEFANINI 3</v>
          </cell>
          <cell r="G532">
            <v>44043</v>
          </cell>
          <cell r="H532" t="str">
            <v>Attivo</v>
          </cell>
        </row>
        <row r="533">
          <cell r="A533">
            <v>39506</v>
          </cell>
          <cell r="B533" t="str">
            <v>SUD</v>
          </cell>
          <cell r="C533" t="str">
            <v>SICILIA</v>
          </cell>
          <cell r="D533" t="str">
            <v>PALERMO</v>
          </cell>
          <cell r="E533" t="str">
            <v>PALERMO</v>
          </cell>
          <cell r="F533" t="str">
            <v>VIA NICOLETTI</v>
          </cell>
          <cell r="G533">
            <v>44627</v>
          </cell>
          <cell r="H533" t="str">
            <v>Attivo</v>
          </cell>
        </row>
        <row r="534">
          <cell r="A534">
            <v>51141</v>
          </cell>
          <cell r="B534" t="str">
            <v>NORD EST</v>
          </cell>
          <cell r="C534" t="str">
            <v>VENETO</v>
          </cell>
          <cell r="D534" t="str">
            <v>VENEZIA</v>
          </cell>
          <cell r="E534" t="str">
            <v>SPINEA</v>
          </cell>
          <cell r="F534" t="str">
            <v>COSTITUZIONE CREA</v>
          </cell>
          <cell r="G534">
            <v>44901</v>
          </cell>
          <cell r="H534" t="str">
            <v>Attivo</v>
          </cell>
        </row>
        <row r="535">
          <cell r="A535">
            <v>51215</v>
          </cell>
          <cell r="B535" t="str">
            <v>NORD OVEST</v>
          </cell>
          <cell r="C535" t="str">
            <v>PIEMONTE</v>
          </cell>
          <cell r="D535" t="str">
            <v>TORINO</v>
          </cell>
          <cell r="E535" t="str">
            <v>IVREA</v>
          </cell>
          <cell r="F535" t="str">
            <v>VIA JERVIS 84</v>
          </cell>
          <cell r="G535">
            <v>45112</v>
          </cell>
          <cell r="H535" t="str">
            <v>Disattivo</v>
          </cell>
        </row>
        <row r="536">
          <cell r="A536">
            <v>51318</v>
          </cell>
          <cell r="B536" t="str">
            <v>NORD OVEST</v>
          </cell>
          <cell r="C536" t="str">
            <v>PIEMONTE</v>
          </cell>
          <cell r="D536" t="str">
            <v>TORINO</v>
          </cell>
          <cell r="E536" t="str">
            <v>TORINO</v>
          </cell>
          <cell r="F536" t="str">
            <v>C.SO CASALE 292A</v>
          </cell>
          <cell r="G536">
            <v>44618</v>
          </cell>
          <cell r="H536" t="str">
            <v>Disattivo</v>
          </cell>
        </row>
        <row r="537">
          <cell r="A537">
            <v>51486</v>
          </cell>
          <cell r="B537" t="str">
            <v>NORD EST</v>
          </cell>
          <cell r="C537" t="str">
            <v>MARCHE</v>
          </cell>
          <cell r="D537" t="str">
            <v>MACERATA</v>
          </cell>
          <cell r="E537" t="str">
            <v>CORRIDONIA</v>
          </cell>
          <cell r="F537" t="str">
            <v>PAUSOLA ZONA INDUSTRIALE</v>
          </cell>
          <cell r="G537">
            <v>44838</v>
          </cell>
          <cell r="H537" t="str">
            <v>Disattivo</v>
          </cell>
        </row>
        <row r="538">
          <cell r="A538">
            <v>51654</v>
          </cell>
          <cell r="B538" t="str">
            <v>NORD OVEST</v>
          </cell>
          <cell r="C538" t="str">
            <v>PIEMONTE</v>
          </cell>
          <cell r="D538" t="str">
            <v>VERCELLI</v>
          </cell>
          <cell r="E538" t="str">
            <v>SANTHIÀ</v>
          </cell>
          <cell r="F538" t="str">
            <v>DUE GIUGNO</v>
          </cell>
          <cell r="G538">
            <v>44833</v>
          </cell>
          <cell r="H538" t="str">
            <v>Attivo</v>
          </cell>
        </row>
        <row r="539">
          <cell r="A539">
            <v>51674</v>
          </cell>
          <cell r="B539" t="str">
            <v>NORD OVEST</v>
          </cell>
          <cell r="C539" t="str">
            <v>LOMBARDIA</v>
          </cell>
          <cell r="D539" t="str">
            <v>BERGAMO</v>
          </cell>
          <cell r="E539" t="str">
            <v>CARAVAGGIO</v>
          </cell>
          <cell r="F539" t="str">
            <v>SS 11 PADANA SUPERIORE KM. 182+719</v>
          </cell>
          <cell r="G539">
            <v>44051</v>
          </cell>
          <cell r="H539" t="str">
            <v>Attivo</v>
          </cell>
        </row>
        <row r="540">
          <cell r="A540">
            <v>52027</v>
          </cell>
          <cell r="B540" t="str">
            <v>NORD OVEST</v>
          </cell>
          <cell r="C540" t="str">
            <v>PIEMONTE</v>
          </cell>
          <cell r="D540" t="str">
            <v>VERBANO CUSIO OSSOLA</v>
          </cell>
          <cell r="E540" t="str">
            <v>VERBANIA</v>
          </cell>
          <cell r="F540" t="str">
            <v>CORSO EUROPA</v>
          </cell>
          <cell r="G540">
            <v>44686</v>
          </cell>
          <cell r="H540" t="str">
            <v>Attivo</v>
          </cell>
        </row>
        <row r="541">
          <cell r="A541">
            <v>52082</v>
          </cell>
          <cell r="B541" t="str">
            <v>NORD EST</v>
          </cell>
          <cell r="C541" t="str">
            <v>EMILIA-ROMAGNA</v>
          </cell>
          <cell r="D541" t="str">
            <v>PIACENZA</v>
          </cell>
          <cell r="E541" t="str">
            <v>PIACENZA</v>
          </cell>
          <cell r="F541" t="str">
            <v>VIA CAORSANA</v>
          </cell>
          <cell r="G541">
            <v>44713</v>
          </cell>
          <cell r="H541" t="str">
            <v>Disattivo</v>
          </cell>
        </row>
        <row r="542">
          <cell r="A542">
            <v>52247</v>
          </cell>
          <cell r="B542" t="str">
            <v>NORD OVEST</v>
          </cell>
          <cell r="C542" t="str">
            <v>LOMBARDIA</v>
          </cell>
          <cell r="D542" t="str">
            <v>MILANO</v>
          </cell>
          <cell r="E542" t="str">
            <v>MILANO</v>
          </cell>
          <cell r="F542" t="str">
            <v>VIA FORZE ARMATE 34</v>
          </cell>
          <cell r="G542">
            <v>44063</v>
          </cell>
          <cell r="H542" t="str">
            <v>Disattivo</v>
          </cell>
        </row>
        <row r="543">
          <cell r="A543">
            <v>52469</v>
          </cell>
          <cell r="B543" t="str">
            <v>NORD OVEST</v>
          </cell>
          <cell r="C543" t="str">
            <v>LOMBARDIA</v>
          </cell>
          <cell r="D543" t="str">
            <v>MILANO</v>
          </cell>
          <cell r="E543" t="str">
            <v>CORSICO</v>
          </cell>
          <cell r="F543" t="str">
            <v>S.P 59 KM 6.500 VIGEVANESE</v>
          </cell>
          <cell r="G543">
            <v>44092</v>
          </cell>
          <cell r="H543" t="str">
            <v>Attivo</v>
          </cell>
        </row>
        <row r="544">
          <cell r="A544">
            <v>52834</v>
          </cell>
          <cell r="B544" t="str">
            <v>NORD EST</v>
          </cell>
          <cell r="C544" t="str">
            <v>FRIULI VENEZIA GIULIA</v>
          </cell>
          <cell r="D544" t="str">
            <v>UDINE</v>
          </cell>
          <cell r="E544" t="str">
            <v>UDINE</v>
          </cell>
          <cell r="F544" t="str">
            <v>VIALE MONSIGNORE GIUSEPPE NOGARA 92</v>
          </cell>
          <cell r="G544">
            <v>44172</v>
          </cell>
          <cell r="H544" t="str">
            <v>Attivo</v>
          </cell>
        </row>
        <row r="545">
          <cell r="A545">
            <v>53490</v>
          </cell>
          <cell r="B545" t="str">
            <v>NORD EST</v>
          </cell>
          <cell r="C545" t="str">
            <v>EMILIA-ROMAGNA</v>
          </cell>
          <cell r="D545" t="str">
            <v>REGGIO EMILIA</v>
          </cell>
          <cell r="E545" t="str">
            <v>SANT'ILARIO D'ENZA</v>
          </cell>
          <cell r="F545" t="str">
            <v>VIA FERRARI 38</v>
          </cell>
          <cell r="G545">
            <v>44876</v>
          </cell>
          <cell r="H545" t="str">
            <v>Attivo</v>
          </cell>
        </row>
        <row r="546">
          <cell r="A546">
            <v>53507</v>
          </cell>
          <cell r="B546" t="str">
            <v>NORD OVEST</v>
          </cell>
          <cell r="C546" t="str">
            <v>PIEMONTE</v>
          </cell>
          <cell r="D546" t="str">
            <v>CUNEO</v>
          </cell>
          <cell r="E546" t="str">
            <v>ALBA</v>
          </cell>
          <cell r="F546" t="str">
            <v>VIA PIERA CILLARIO</v>
          </cell>
          <cell r="G546">
            <v>45330</v>
          </cell>
          <cell r="H546" t="str">
            <v>Attivo</v>
          </cell>
        </row>
        <row r="547">
          <cell r="A547">
            <v>53624</v>
          </cell>
          <cell r="B547" t="str">
            <v>CENTRO</v>
          </cell>
          <cell r="C547" t="str">
            <v>TOSCANA</v>
          </cell>
          <cell r="D547" t="str">
            <v>GROSSETO</v>
          </cell>
          <cell r="E547" t="str">
            <v>FOLLONICA</v>
          </cell>
          <cell r="F547" t="str">
            <v>AURELIA LOCALITA RONDELLI</v>
          </cell>
          <cell r="G547">
            <v>44910</v>
          </cell>
          <cell r="H547" t="str">
            <v>Disattivo</v>
          </cell>
        </row>
        <row r="548">
          <cell r="A548">
            <v>53792</v>
          </cell>
          <cell r="B548" t="str">
            <v>CENTRO</v>
          </cell>
          <cell r="C548" t="str">
            <v>TOSCANA</v>
          </cell>
          <cell r="D548" t="str">
            <v>SIENA</v>
          </cell>
          <cell r="E548" t="str">
            <v>SIENA</v>
          </cell>
          <cell r="F548" t="str">
            <v>VIALE CAMILLO BENSO DI CAVOUR</v>
          </cell>
          <cell r="G548">
            <v>44854</v>
          </cell>
          <cell r="H548" t="str">
            <v>Disattivo</v>
          </cell>
        </row>
        <row r="549">
          <cell r="A549">
            <v>53821</v>
          </cell>
          <cell r="B549" t="str">
            <v>NORD EST</v>
          </cell>
          <cell r="C549" t="str">
            <v>MARCHE</v>
          </cell>
          <cell r="D549" t="str">
            <v>PESARO E URBINO</v>
          </cell>
          <cell r="E549" t="str">
            <v>PESARO</v>
          </cell>
          <cell r="F549" t="str">
            <v>SS 16 ADRIATICA KM 237+192 S.N.</v>
          </cell>
          <cell r="G549">
            <v>45855</v>
          </cell>
          <cell r="H549" t="str">
            <v>Disattivo</v>
          </cell>
        </row>
        <row r="550">
          <cell r="A550">
            <v>53877</v>
          </cell>
          <cell r="B550" t="str">
            <v>NORD EST</v>
          </cell>
          <cell r="C550" t="str">
            <v>MARCHE</v>
          </cell>
          <cell r="D550" t="str">
            <v>FERMO</v>
          </cell>
          <cell r="E550" t="str">
            <v>FERMO</v>
          </cell>
          <cell r="F550" t="str">
            <v>VIA NAZIONALE 7 LOC.LIDO</v>
          </cell>
          <cell r="G550">
            <v>44861</v>
          </cell>
          <cell r="H550" t="str">
            <v>Attivo</v>
          </cell>
        </row>
        <row r="551">
          <cell r="A551">
            <v>54044</v>
          </cell>
          <cell r="B551" t="str">
            <v>CENTRO</v>
          </cell>
          <cell r="C551" t="str">
            <v>TOSCANA</v>
          </cell>
          <cell r="D551" t="str">
            <v>SIENA</v>
          </cell>
          <cell r="E551" t="str">
            <v>SIENA</v>
          </cell>
          <cell r="F551" t="str">
            <v>VIALE BRACCI SNC</v>
          </cell>
          <cell r="G551">
            <v>45569</v>
          </cell>
          <cell r="H551" t="str">
            <v>Attivo</v>
          </cell>
        </row>
        <row r="552">
          <cell r="A552">
            <v>54055</v>
          </cell>
          <cell r="B552" t="str">
            <v>CENTRO</v>
          </cell>
          <cell r="C552" t="str">
            <v>LAZIO</v>
          </cell>
          <cell r="D552" t="str">
            <v>ROMA</v>
          </cell>
          <cell r="E552" t="str">
            <v>POMEZIA</v>
          </cell>
          <cell r="F552" t="str">
            <v>SS 148 KM 33+163</v>
          </cell>
          <cell r="G552">
            <v>45273</v>
          </cell>
          <cell r="H552" t="str">
            <v>Disattivo</v>
          </cell>
        </row>
        <row r="553">
          <cell r="A553">
            <v>54101</v>
          </cell>
          <cell r="B553" t="str">
            <v>CENTRO</v>
          </cell>
          <cell r="C553" t="str">
            <v>TOSCANA</v>
          </cell>
          <cell r="D553" t="str">
            <v>LIVORNO</v>
          </cell>
          <cell r="E553" t="str">
            <v>CECINA</v>
          </cell>
          <cell r="F553" t="str">
            <v>VIA VARIANTE AURELIA KM273</v>
          </cell>
          <cell r="G553">
            <v>44816</v>
          </cell>
          <cell r="H553" t="str">
            <v>Attivo</v>
          </cell>
        </row>
        <row r="554">
          <cell r="A554">
            <v>54290</v>
          </cell>
          <cell r="B554" t="str">
            <v>NORD OVEST</v>
          </cell>
          <cell r="C554" t="str">
            <v>LIGURIA</v>
          </cell>
          <cell r="D554" t="str">
            <v>GENOVA</v>
          </cell>
          <cell r="E554" t="str">
            <v>GENOVA</v>
          </cell>
          <cell r="F554" t="str">
            <v>CORSO DE STEFANIS 215/R</v>
          </cell>
          <cell r="G554">
            <v>45177</v>
          </cell>
          <cell r="H554" t="str">
            <v>Attivo</v>
          </cell>
        </row>
        <row r="555">
          <cell r="A555">
            <v>54496</v>
          </cell>
          <cell r="B555" t="str">
            <v>SUD</v>
          </cell>
          <cell r="C555" t="str">
            <v>PUGLIA</v>
          </cell>
          <cell r="D555" t="str">
            <v>BARI</v>
          </cell>
          <cell r="E555" t="str">
            <v>GIOVINAZZO</v>
          </cell>
          <cell r="F555" t="str">
            <v>SS 16 BIS KM 87+230 NORD</v>
          </cell>
          <cell r="G555">
            <v>45882</v>
          </cell>
          <cell r="H555" t="str">
            <v>Disattivo</v>
          </cell>
        </row>
        <row r="556">
          <cell r="A556">
            <v>54498</v>
          </cell>
          <cell r="B556" t="str">
            <v>NORD EST</v>
          </cell>
          <cell r="C556" t="str">
            <v>EMILIA-ROMAGNA</v>
          </cell>
          <cell r="D556" t="str">
            <v>BOLOGNA</v>
          </cell>
          <cell r="E556" t="str">
            <v>BOLOGNA</v>
          </cell>
          <cell r="F556" t="str">
            <v>VIA FERRARESE 166</v>
          </cell>
          <cell r="G556">
            <v>44609</v>
          </cell>
          <cell r="H556" t="str">
            <v>Attivo</v>
          </cell>
        </row>
        <row r="557">
          <cell r="A557">
            <v>54566</v>
          </cell>
          <cell r="B557" t="str">
            <v>NORD OVEST</v>
          </cell>
          <cell r="C557" t="str">
            <v>PIEMONTE</v>
          </cell>
          <cell r="D557" t="str">
            <v>TORINO</v>
          </cell>
          <cell r="E557" t="str">
            <v>RIVOLI</v>
          </cell>
          <cell r="F557" t="str">
            <v>C.SO PRIMO LEVI - S.P.N.7 KM.8+260 160/A</v>
          </cell>
          <cell r="G557">
            <v>44176</v>
          </cell>
          <cell r="H557" t="str">
            <v>Attivo</v>
          </cell>
        </row>
        <row r="558">
          <cell r="A558">
            <v>54593</v>
          </cell>
          <cell r="B558" t="str">
            <v>NORD EST</v>
          </cell>
          <cell r="C558" t="str">
            <v>EMILIA-ROMAGNA</v>
          </cell>
          <cell r="D558" t="str">
            <v>MODENA</v>
          </cell>
          <cell r="E558" t="str">
            <v>MODENA</v>
          </cell>
          <cell r="F558" t="str">
            <v>SS MO/SASSUOLO LOC. BAGGIOVARA SNC</v>
          </cell>
          <cell r="G558">
            <v>44614</v>
          </cell>
          <cell r="H558" t="str">
            <v>Attivo</v>
          </cell>
        </row>
        <row r="559">
          <cell r="A559">
            <v>55012</v>
          </cell>
          <cell r="B559" t="str">
            <v>SUD</v>
          </cell>
          <cell r="C559" t="str">
            <v>CALABRIA</v>
          </cell>
          <cell r="D559" t="str">
            <v>REGGIO CALABRIA</v>
          </cell>
          <cell r="E559" t="str">
            <v>REGGIO DI CALABRIA</v>
          </cell>
          <cell r="F559" t="str">
            <v>VIA RAVAGNESE INFERIORE 71/A</v>
          </cell>
          <cell r="G559">
            <v>44214</v>
          </cell>
          <cell r="H559" t="str">
            <v>Disattivo</v>
          </cell>
        </row>
        <row r="560">
          <cell r="A560">
            <v>55358</v>
          </cell>
          <cell r="B560" t="str">
            <v>NORD OVEST</v>
          </cell>
          <cell r="C560" t="str">
            <v>PIEMONTE</v>
          </cell>
          <cell r="D560" t="str">
            <v>NOVARA</v>
          </cell>
          <cell r="E560" t="str">
            <v>NOVARA</v>
          </cell>
          <cell r="F560" t="str">
            <v>C.SO VERCELLI, 138</v>
          </cell>
          <cell r="G560">
            <v>44837</v>
          </cell>
          <cell r="H560" t="str">
            <v>Attivo</v>
          </cell>
        </row>
        <row r="561">
          <cell r="A561">
            <v>55422</v>
          </cell>
          <cell r="B561" t="str">
            <v>NORD EST</v>
          </cell>
          <cell r="C561" t="str">
            <v>EMILIA-ROMAGNA</v>
          </cell>
          <cell r="D561" t="str">
            <v>BOLOGNA</v>
          </cell>
          <cell r="E561" t="str">
            <v>BOLOGNA</v>
          </cell>
          <cell r="F561" t="str">
            <v>VIA CRISTOFORO COLOMBO 36</v>
          </cell>
          <cell r="G561">
            <v>44076</v>
          </cell>
          <cell r="H561" t="str">
            <v>Attivo</v>
          </cell>
        </row>
        <row r="562">
          <cell r="A562">
            <v>55442</v>
          </cell>
          <cell r="B562" t="str">
            <v>CENTRO</v>
          </cell>
          <cell r="C562" t="str">
            <v>UMBRIA</v>
          </cell>
          <cell r="D562" t="str">
            <v>TERNI</v>
          </cell>
          <cell r="E562" t="str">
            <v>AMELIA</v>
          </cell>
          <cell r="F562" t="str">
            <v>VIA ROMA 48/A</v>
          </cell>
          <cell r="G562">
            <v>44692</v>
          </cell>
          <cell r="H562" t="str">
            <v>Disattivo</v>
          </cell>
        </row>
        <row r="563">
          <cell r="A563">
            <v>55673</v>
          </cell>
          <cell r="B563" t="str">
            <v>NORD OVEST</v>
          </cell>
          <cell r="C563" t="str">
            <v>LOMBARDIA</v>
          </cell>
          <cell r="D563" t="str">
            <v>MILANO</v>
          </cell>
          <cell r="E563" t="str">
            <v>MILANO</v>
          </cell>
          <cell r="F563" t="str">
            <v>VIA GALLARATE 40</v>
          </cell>
          <cell r="G563">
            <v>44205</v>
          </cell>
          <cell r="H563" t="str">
            <v>Attivo</v>
          </cell>
        </row>
        <row r="564">
          <cell r="A564">
            <v>55811</v>
          </cell>
          <cell r="B564" t="str">
            <v>CENTRO</v>
          </cell>
          <cell r="C564" t="str">
            <v>LAZIO</v>
          </cell>
          <cell r="D564" t="str">
            <v>ROMA</v>
          </cell>
          <cell r="E564" t="str">
            <v>POMEZIA</v>
          </cell>
          <cell r="F564" t="str">
            <v>VIA PONTINA KM 31+384</v>
          </cell>
          <cell r="G564">
            <v>45114</v>
          </cell>
          <cell r="H564" t="str">
            <v>Attivo</v>
          </cell>
        </row>
        <row r="565">
          <cell r="A565">
            <v>55843</v>
          </cell>
          <cell r="B565" t="str">
            <v>CENTRO</v>
          </cell>
          <cell r="C565" t="str">
            <v>LAZIO</v>
          </cell>
          <cell r="D565" t="str">
            <v>ROMA</v>
          </cell>
          <cell r="E565" t="str">
            <v>ROMA</v>
          </cell>
          <cell r="F565" t="str">
            <v>VIA DELLA MAGLIANA 242</v>
          </cell>
          <cell r="G565">
            <v>44697</v>
          </cell>
          <cell r="H565" t="str">
            <v>Attivo</v>
          </cell>
        </row>
        <row r="566">
          <cell r="A566">
            <v>55905</v>
          </cell>
          <cell r="B566" t="str">
            <v>NORD EST</v>
          </cell>
          <cell r="C566" t="str">
            <v>VENETO</v>
          </cell>
          <cell r="D566" t="str">
            <v>VERONA</v>
          </cell>
          <cell r="E566" t="str">
            <v>VILLAFRANCA DI VERONA</v>
          </cell>
          <cell r="F566" t="str">
            <v>VIA SAN GIOVANI PAGLIA 23</v>
          </cell>
          <cell r="G566">
            <v>44161</v>
          </cell>
          <cell r="H566" t="str">
            <v>Disattivo</v>
          </cell>
        </row>
        <row r="567">
          <cell r="A567">
            <v>57111</v>
          </cell>
          <cell r="B567" t="str">
            <v>NORD OVEST</v>
          </cell>
          <cell r="C567" t="str">
            <v>LOMBARDIA</v>
          </cell>
          <cell r="D567" t="str">
            <v>LECCO</v>
          </cell>
          <cell r="E567" t="str">
            <v>VALMADRERA</v>
          </cell>
          <cell r="F567" t="str">
            <v>VIA XXV APRILE 22</v>
          </cell>
          <cell r="G567">
            <v>44169</v>
          </cell>
          <cell r="H567" t="str">
            <v>Disattivo</v>
          </cell>
        </row>
        <row r="568">
          <cell r="A568">
            <v>57171</v>
          </cell>
          <cell r="B568" t="str">
            <v>CENTRO</v>
          </cell>
          <cell r="C568" t="str">
            <v>LAZIO</v>
          </cell>
          <cell r="D568" t="str">
            <v>ROMA</v>
          </cell>
          <cell r="E568" t="str">
            <v>LADISPOLI</v>
          </cell>
          <cell r="F568" t="str">
            <v>VIA PALO LAZIALE 8</v>
          </cell>
          <cell r="G568">
            <v>44048</v>
          </cell>
          <cell r="H568" t="str">
            <v>Attivo</v>
          </cell>
        </row>
        <row r="569">
          <cell r="A569">
            <v>57208</v>
          </cell>
          <cell r="B569" t="str">
            <v>NORD EST</v>
          </cell>
          <cell r="C569" t="str">
            <v>VENETO</v>
          </cell>
          <cell r="D569" t="str">
            <v>VERONA</v>
          </cell>
          <cell r="E569" t="str">
            <v>VERONA</v>
          </cell>
          <cell r="F569" t="str">
            <v>VIA MANTOVANA 90</v>
          </cell>
          <cell r="G569">
            <v>44705</v>
          </cell>
          <cell r="H569" t="str">
            <v>Disattivo</v>
          </cell>
        </row>
        <row r="570">
          <cell r="A570">
            <v>57601</v>
          </cell>
          <cell r="B570" t="str">
            <v>NORD EST</v>
          </cell>
          <cell r="C570" t="str">
            <v>EMILIA-ROMAGNA</v>
          </cell>
          <cell r="D570" t="str">
            <v>MODENA</v>
          </cell>
          <cell r="E570" t="str">
            <v>MODENA</v>
          </cell>
          <cell r="F570" t="str">
            <v>VIA VIGNOLESE 1030</v>
          </cell>
          <cell r="G570">
            <v>44589</v>
          </cell>
          <cell r="H570" t="str">
            <v>Attivo</v>
          </cell>
        </row>
        <row r="571">
          <cell r="A571">
            <v>58176</v>
          </cell>
          <cell r="B571" t="str">
            <v>NORD EST</v>
          </cell>
          <cell r="C571" t="str">
            <v>EMILIA-ROMAGNA</v>
          </cell>
          <cell r="D571" t="str">
            <v>RAVENNA</v>
          </cell>
          <cell r="E571" t="str">
            <v>COTIGNOLA</v>
          </cell>
          <cell r="F571" t="str">
            <v>VIA MADONNA DI GENOVA, 23/A</v>
          </cell>
          <cell r="G571">
            <v>44860</v>
          </cell>
          <cell r="H571" t="str">
            <v>Attivo</v>
          </cell>
        </row>
        <row r="572">
          <cell r="A572">
            <v>58341</v>
          </cell>
          <cell r="B572" t="str">
            <v>CENTRO</v>
          </cell>
          <cell r="C572" t="str">
            <v>LAZIO</v>
          </cell>
          <cell r="D572" t="str">
            <v>ROMA</v>
          </cell>
          <cell r="E572" t="str">
            <v>ROMA</v>
          </cell>
          <cell r="F572" t="str">
            <v>VIA ARDEATINA</v>
          </cell>
          <cell r="G572">
            <v>46029</v>
          </cell>
          <cell r="H572" t="str">
            <v>Attivo</v>
          </cell>
        </row>
        <row r="573">
          <cell r="A573">
            <v>58342</v>
          </cell>
          <cell r="B573" t="str">
            <v>CENTRO</v>
          </cell>
          <cell r="C573" t="str">
            <v>LAZIO</v>
          </cell>
          <cell r="D573" t="str">
            <v>ROMA</v>
          </cell>
          <cell r="E573" t="str">
            <v>ROMA</v>
          </cell>
          <cell r="F573" t="str">
            <v>VIA GROTTA PERFETTA 546</v>
          </cell>
          <cell r="G573">
            <v>44088</v>
          </cell>
          <cell r="H573" t="str">
            <v>Attivo</v>
          </cell>
        </row>
        <row r="574">
          <cell r="A574">
            <v>59309</v>
          </cell>
          <cell r="B574" t="str">
            <v>CENTRO</v>
          </cell>
          <cell r="C574" t="str">
            <v>LAZIO</v>
          </cell>
          <cell r="D574" t="str">
            <v>ROMA</v>
          </cell>
          <cell r="E574" t="str">
            <v>MORLUPO</v>
          </cell>
          <cell r="F574" t="str">
            <v>VIA FLAMINIA KM. 29,700 SNC</v>
          </cell>
          <cell r="G574">
            <v>46066</v>
          </cell>
          <cell r="H574" t="str">
            <v>Attivo</v>
          </cell>
        </row>
        <row r="575">
          <cell r="A575">
            <v>59894</v>
          </cell>
          <cell r="B575" t="str">
            <v>NORD OVEST</v>
          </cell>
          <cell r="C575" t="str">
            <v>LOMBARDIA</v>
          </cell>
          <cell r="D575" t="str">
            <v>BRESCIA</v>
          </cell>
          <cell r="E575" t="str">
            <v>BRESCIA</v>
          </cell>
          <cell r="F575" t="str">
            <v>V. DE GASP./TANG. S KM 6+930</v>
          </cell>
          <cell r="G575">
            <v>45629</v>
          </cell>
          <cell r="H575" t="str">
            <v>Attivo</v>
          </cell>
        </row>
        <row r="576">
          <cell r="A576" t="str">
            <v>F0032</v>
          </cell>
          <cell r="B576" t="str">
            <v>CENTRO</v>
          </cell>
          <cell r="C576" t="str">
            <v>LAZIO</v>
          </cell>
          <cell r="D576" t="str">
            <v>ROMA</v>
          </cell>
          <cell r="E576" t="str">
            <v>ROMA</v>
          </cell>
          <cell r="F576" t="str">
            <v>SMART COMUNICATION SRLS - VIA ORAZIO DELLO SBIRRO</v>
          </cell>
          <cell r="G576">
            <v>45850</v>
          </cell>
          <cell r="H576" t="str">
            <v>Disattivo</v>
          </cell>
        </row>
        <row r="577">
          <cell r="A577" t="str">
            <v>-</v>
          </cell>
          <cell r="B577" t="str">
            <v>-</v>
          </cell>
          <cell r="C577" t="str">
            <v>-</v>
          </cell>
          <cell r="D577" t="str">
            <v>-</v>
          </cell>
          <cell r="E577" t="str">
            <v>-</v>
          </cell>
          <cell r="F577" t="str">
            <v>-</v>
          </cell>
          <cell r="G577" t="str">
            <v>-</v>
          </cell>
          <cell r="H577" t="str">
            <v>-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540E-2E9E-4973-9AEA-DF233346B23F}">
  <sheetPr>
    <tabColor rgb="FF7030A0"/>
  </sheetPr>
  <dimension ref="A1:L477"/>
  <sheetViews>
    <sheetView tabSelected="1" workbookViewId="0">
      <selection activeCell="P10" sqref="P10"/>
    </sheetView>
  </sheetViews>
  <sheetFormatPr defaultRowHeight="12.75" x14ac:dyDescent="0.15"/>
  <cols>
    <col min="2" max="2" width="15.37109375" style="1" bestFit="1" customWidth="1"/>
    <col min="3" max="3" width="13.34765625" bestFit="1" customWidth="1"/>
    <col min="4" max="4" width="15.37109375" customWidth="1"/>
    <col min="5" max="5" width="12.26953125" customWidth="1"/>
    <col min="6" max="6" width="19.1484375" customWidth="1"/>
    <col min="7" max="7" width="33.98046875" customWidth="1"/>
    <col min="8" max="10" width="12.67578125" style="1" customWidth="1"/>
    <col min="11" max="12" width="15.640625" style="1" customWidth="1"/>
  </cols>
  <sheetData>
    <row r="1" spans="1:12" ht="18.75" x14ac:dyDescent="0.15">
      <c r="H1" s="22" t="s">
        <v>13</v>
      </c>
      <c r="I1" s="22"/>
      <c r="J1" s="22"/>
      <c r="K1" s="22"/>
      <c r="L1" s="22"/>
    </row>
    <row r="2" spans="1:12" ht="22.5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x14ac:dyDescent="0.15">
      <c r="A3" s="3" t="s">
        <v>12</v>
      </c>
      <c r="B3">
        <v>14728</v>
      </c>
      <c r="C3" t="str">
        <f>VLOOKUP($B3,'[1]DB PV ENI'!$A$4:$H$577,2,FALSE)</f>
        <v>CENTRO</v>
      </c>
      <c r="D3" t="str">
        <f>VLOOKUP($B3,'[1]DB PV ENI'!$A$4:$H$577,3,FALSE)</f>
        <v>TOSCANA</v>
      </c>
      <c r="E3" t="str">
        <f>VLOOKUP($B3,'[1]DB PV ENI'!$A$4:$H$577,4,FALSE)</f>
        <v>PRATO</v>
      </c>
      <c r="F3" t="str">
        <f>VLOOKUP($B3,'[1]DB PV ENI'!$A$4:$H$577,5,FALSE)</f>
        <v>PRATO</v>
      </c>
      <c r="G3" t="str">
        <f>VLOOKUP($B3,'[1]DB PV ENI'!$A$4:$H$577,6,FALSE)</f>
        <v>VIALE NAM DINH  N 4 - LATO OVEST</v>
      </c>
      <c r="H3">
        <v>289</v>
      </c>
      <c r="I3" s="1">
        <v>147</v>
      </c>
      <c r="J3" s="1">
        <v>142</v>
      </c>
      <c r="K3" s="1">
        <v>126</v>
      </c>
      <c r="L3" s="4">
        <v>0.88732394366197187</v>
      </c>
    </row>
    <row r="4" spans="1:12" x14ac:dyDescent="0.15">
      <c r="A4" s="3" t="s">
        <v>12</v>
      </c>
      <c r="B4">
        <v>8432</v>
      </c>
      <c r="C4" t="str">
        <f>VLOOKUP($B4,'[1]DB PV ENI'!$A$4:$H$577,2,FALSE)</f>
        <v>SUD</v>
      </c>
      <c r="D4" t="str">
        <f>VLOOKUP($B4,'[1]DB PV ENI'!$A$4:$H$577,3,FALSE)</f>
        <v>CAMPANIA</v>
      </c>
      <c r="E4" t="str">
        <f>VLOOKUP($B4,'[1]DB PV ENI'!$A$4:$H$577,4,FALSE)</f>
        <v>CASERTA</v>
      </c>
      <c r="F4" t="str">
        <f>VLOOKUP($B4,'[1]DB PV ENI'!$A$4:$H$577,5,FALSE)</f>
        <v>CASERTA</v>
      </c>
      <c r="G4" t="str">
        <f>VLOOKUP($B4,'[1]DB PV ENI'!$A$4:$H$577,6,FALSE)</f>
        <v>SS 87 KM.25+340  VIALE DELLA LIBERTA, 4</v>
      </c>
      <c r="H4">
        <v>148</v>
      </c>
      <c r="I4" s="1">
        <v>98</v>
      </c>
      <c r="J4" s="1">
        <v>50</v>
      </c>
      <c r="K4" s="1">
        <v>46</v>
      </c>
      <c r="L4" s="4">
        <v>0.92</v>
      </c>
    </row>
    <row r="5" spans="1:12" x14ac:dyDescent="0.15">
      <c r="A5" s="3" t="s">
        <v>12</v>
      </c>
      <c r="B5">
        <v>415</v>
      </c>
      <c r="C5" t="str">
        <f>VLOOKUP($B5,'[1]DB PV ENI'!$A$4:$H$577,2,FALSE)</f>
        <v>NORD OVEST</v>
      </c>
      <c r="D5" t="str">
        <f>VLOOKUP($B5,'[1]DB PV ENI'!$A$4:$H$577,3,FALSE)</f>
        <v>PIEMONTE</v>
      </c>
      <c r="E5" t="str">
        <f>VLOOKUP($B5,'[1]DB PV ENI'!$A$4:$H$577,4,FALSE)</f>
        <v>VERBANO CUSIO OSSOLA</v>
      </c>
      <c r="F5" t="str">
        <f>VLOOKUP($B5,'[1]DB PV ENI'!$A$4:$H$577,5,FALSE)</f>
        <v>PIEDIMULERA</v>
      </c>
      <c r="G5" t="str">
        <f>VLOOKUP($B5,'[1]DB PV ENI'!$A$4:$H$577,6,FALSE)</f>
        <v>VIA ROMA 157</v>
      </c>
      <c r="H5">
        <v>100</v>
      </c>
      <c r="I5" s="1">
        <v>55</v>
      </c>
      <c r="J5" s="1">
        <v>45</v>
      </c>
      <c r="K5" s="1">
        <v>45</v>
      </c>
      <c r="L5" s="4">
        <v>1</v>
      </c>
    </row>
    <row r="6" spans="1:12" x14ac:dyDescent="0.15">
      <c r="A6" s="3" t="s">
        <v>12</v>
      </c>
      <c r="B6">
        <v>6334</v>
      </c>
      <c r="C6" t="str">
        <f>VLOOKUP($B6,'[1]DB PV ENI'!$A$4:$H$577,2,FALSE)</f>
        <v>NORD EST</v>
      </c>
      <c r="D6" t="str">
        <f>VLOOKUP($B6,'[1]DB PV ENI'!$A$4:$H$577,3,FALSE)</f>
        <v>EMILIA-ROMAGNA</v>
      </c>
      <c r="E6" t="str">
        <f>VLOOKUP($B6,'[1]DB PV ENI'!$A$4:$H$577,4,FALSE)</f>
        <v>MODENA</v>
      </c>
      <c r="F6" t="str">
        <f>VLOOKUP($B6,'[1]DB PV ENI'!$A$4:$H$577,5,FALSE)</f>
        <v>VIGNOLA</v>
      </c>
      <c r="G6" t="str">
        <f>VLOOKUP($B6,'[1]DB PV ENI'!$A$4:$H$577,6,FALSE)</f>
        <v>VIA PER SPILAMBERTO 1015</v>
      </c>
      <c r="H6">
        <v>74</v>
      </c>
      <c r="I6" s="1">
        <v>40</v>
      </c>
      <c r="J6" s="1">
        <v>34</v>
      </c>
      <c r="K6" s="1">
        <v>34</v>
      </c>
      <c r="L6" s="4">
        <v>1</v>
      </c>
    </row>
    <row r="7" spans="1:12" x14ac:dyDescent="0.15">
      <c r="A7" s="3" t="s">
        <v>12</v>
      </c>
      <c r="B7">
        <v>5332</v>
      </c>
      <c r="C7" t="str">
        <f>VLOOKUP($B7,'[1]DB PV ENI'!$A$4:$H$577,2,FALSE)</f>
        <v>CENTRO</v>
      </c>
      <c r="D7" t="str">
        <f>VLOOKUP($B7,'[1]DB PV ENI'!$A$4:$H$577,3,FALSE)</f>
        <v>TOSCANA</v>
      </c>
      <c r="E7" t="str">
        <f>VLOOKUP($B7,'[1]DB PV ENI'!$A$4:$H$577,4,FALSE)</f>
        <v>PISTOIA</v>
      </c>
      <c r="F7" t="str">
        <f>VLOOKUP($B7,'[1]DB PV ENI'!$A$4:$H$577,5,FALSE)</f>
        <v>PISTOIA</v>
      </c>
      <c r="G7" t="str">
        <f>VLOOKUP($B7,'[1]DB PV ENI'!$A$4:$H$577,6,FALSE)</f>
        <v>R.A. FI-MARE / VIA NICCOLO' MACCHIAVELLI 287</v>
      </c>
      <c r="H7">
        <v>103</v>
      </c>
      <c r="I7" s="1">
        <v>41</v>
      </c>
      <c r="J7" s="1">
        <v>62</v>
      </c>
      <c r="K7" s="1">
        <v>33</v>
      </c>
      <c r="L7" s="4">
        <v>0.532258064516129</v>
      </c>
    </row>
    <row r="8" spans="1:12" x14ac:dyDescent="0.15">
      <c r="A8" s="3" t="s">
        <v>12</v>
      </c>
      <c r="B8">
        <v>18040</v>
      </c>
      <c r="C8" t="str">
        <f>VLOOKUP($B8,'[1]DB PV ENI'!$A$4:$H$577,2,FALSE)</f>
        <v>SUD</v>
      </c>
      <c r="D8" t="str">
        <f>VLOOKUP($B8,'[1]DB PV ENI'!$A$4:$H$577,3,FALSE)</f>
        <v>CAMPANIA</v>
      </c>
      <c r="E8" t="str">
        <f>VLOOKUP($B8,'[1]DB PV ENI'!$A$4:$H$577,4,FALSE)</f>
        <v>NAPOLI</v>
      </c>
      <c r="F8" t="str">
        <f>VLOOKUP($B8,'[1]DB PV ENI'!$A$4:$H$577,5,FALSE)</f>
        <v>SOMMA VESUVIANA</v>
      </c>
      <c r="G8" t="str">
        <f>VLOOKUP($B8,'[1]DB PV ENI'!$A$4:$H$577,6,FALSE)</f>
        <v>S MARIA DEL POZZO</v>
      </c>
      <c r="H8">
        <v>70</v>
      </c>
      <c r="I8" s="1">
        <v>39</v>
      </c>
      <c r="J8" s="1">
        <v>31</v>
      </c>
      <c r="K8" s="1">
        <v>32</v>
      </c>
      <c r="L8" s="4">
        <v>1.032258064516129</v>
      </c>
    </row>
    <row r="9" spans="1:12" x14ac:dyDescent="0.15">
      <c r="A9" s="3" t="s">
        <v>12</v>
      </c>
      <c r="B9">
        <v>4739</v>
      </c>
      <c r="C9" t="str">
        <f>VLOOKUP($B9,'[1]DB PV ENI'!$A$4:$H$577,2,FALSE)</f>
        <v>CENTRO</v>
      </c>
      <c r="D9" t="str">
        <f>VLOOKUP($B9,'[1]DB PV ENI'!$A$4:$H$577,3,FALSE)</f>
        <v>TOSCANA</v>
      </c>
      <c r="E9" t="str">
        <f>VLOOKUP($B9,'[1]DB PV ENI'!$A$4:$H$577,4,FALSE)</f>
        <v>FIRENZE</v>
      </c>
      <c r="F9" t="str">
        <f>VLOOKUP($B9,'[1]DB PV ENI'!$A$4:$H$577,5,FALSE)</f>
        <v>CALENZANO</v>
      </c>
      <c r="G9" t="str">
        <f>VLOOKUP($B9,'[1]DB PV ENI'!$A$4:$H$577,6,FALSE)</f>
        <v>VIA VITTORIO EMANUELE SNC - LOC.SPAZZAVENTO</v>
      </c>
      <c r="H9">
        <v>91</v>
      </c>
      <c r="I9" s="1">
        <v>40</v>
      </c>
      <c r="J9" s="1">
        <v>51</v>
      </c>
      <c r="K9" s="1">
        <v>27</v>
      </c>
      <c r="L9" s="4">
        <v>0.52941176470588236</v>
      </c>
    </row>
    <row r="10" spans="1:12" x14ac:dyDescent="0.15">
      <c r="A10" s="3" t="s">
        <v>12</v>
      </c>
      <c r="B10">
        <v>1448</v>
      </c>
      <c r="C10" t="str">
        <f>VLOOKUP($B10,'[1]DB PV ENI'!$A$4:$H$577,2,FALSE)</f>
        <v>NORD OVEST</v>
      </c>
      <c r="D10" t="str">
        <f>VLOOKUP($B10,'[1]DB PV ENI'!$A$4:$H$577,3,FALSE)</f>
        <v>PIEMONTE</v>
      </c>
      <c r="E10" t="str">
        <f>VLOOKUP($B10,'[1]DB PV ENI'!$A$4:$H$577,4,FALSE)</f>
        <v>ALESSANDRIA</v>
      </c>
      <c r="F10" t="str">
        <f>VLOOKUP($B10,'[1]DB PV ENI'!$A$4:$H$577,5,FALSE)</f>
        <v>ALESSANDRIA</v>
      </c>
      <c r="G10" t="str">
        <f>VLOOKUP($B10,'[1]DB PV ENI'!$A$4:$H$577,6,FALSE)</f>
        <v>VIA G BRUNO 71</v>
      </c>
      <c r="H10">
        <v>77</v>
      </c>
      <c r="I10" s="1">
        <v>37</v>
      </c>
      <c r="J10" s="1">
        <v>40</v>
      </c>
      <c r="K10" s="1">
        <v>27</v>
      </c>
      <c r="L10" s="4">
        <v>0.67500000000000004</v>
      </c>
    </row>
    <row r="11" spans="1:12" x14ac:dyDescent="0.15">
      <c r="A11" s="3" t="s">
        <v>12</v>
      </c>
      <c r="B11">
        <v>6038</v>
      </c>
      <c r="C11" t="str">
        <f>VLOOKUP($B11,'[1]DB PV ENI'!$A$4:$H$577,2,FALSE)</f>
        <v>NORD EST</v>
      </c>
      <c r="D11" t="str">
        <f>VLOOKUP($B11,'[1]DB PV ENI'!$A$4:$H$577,3,FALSE)</f>
        <v>MARCHE</v>
      </c>
      <c r="E11" t="str">
        <f>VLOOKUP($B11,'[1]DB PV ENI'!$A$4:$H$577,4,FALSE)</f>
        <v>PESARO E URBINO</v>
      </c>
      <c r="F11" t="str">
        <f>VLOOKUP($B11,'[1]DB PV ENI'!$A$4:$H$577,5,FALSE)</f>
        <v>PESARO</v>
      </c>
      <c r="G11" t="str">
        <f>VLOOKUP($B11,'[1]DB PV ENI'!$A$4:$H$577,6,FALSE)</f>
        <v>S.S.423 LOC.TORRACCIA</v>
      </c>
      <c r="H11">
        <v>54</v>
      </c>
      <c r="I11" s="1">
        <v>25</v>
      </c>
      <c r="J11" s="1">
        <v>29</v>
      </c>
      <c r="K11" s="1">
        <v>24</v>
      </c>
      <c r="L11" s="4">
        <v>0.82758620689655171</v>
      </c>
    </row>
    <row r="12" spans="1:12" x14ac:dyDescent="0.15">
      <c r="A12" s="3" t="s">
        <v>12</v>
      </c>
      <c r="B12">
        <v>407</v>
      </c>
      <c r="C12" t="str">
        <f>VLOOKUP($B12,'[1]DB PV ENI'!$A$4:$H$577,2,FALSE)</f>
        <v>NORD OVEST</v>
      </c>
      <c r="D12" t="str">
        <f>VLOOKUP($B12,'[1]DB PV ENI'!$A$4:$H$577,3,FALSE)</f>
        <v>PIEMONTE</v>
      </c>
      <c r="E12" t="str">
        <f>VLOOKUP($B12,'[1]DB PV ENI'!$A$4:$H$577,4,FALSE)</f>
        <v>VERBANO CUSIO OSSOLA</v>
      </c>
      <c r="F12" t="str">
        <f>VLOOKUP($B12,'[1]DB PV ENI'!$A$4:$H$577,5,FALSE)</f>
        <v>OMEGNA</v>
      </c>
      <c r="G12" t="str">
        <f>VLOOKUP($B12,'[1]DB PV ENI'!$A$4:$H$577,6,FALSE)</f>
        <v>VIA IV NOVEMBRE</v>
      </c>
      <c r="H12">
        <v>54</v>
      </c>
      <c r="I12" s="1">
        <v>25</v>
      </c>
      <c r="J12" s="1">
        <v>29</v>
      </c>
      <c r="K12" s="1">
        <v>24</v>
      </c>
      <c r="L12" s="4">
        <v>0.82758620689655171</v>
      </c>
    </row>
    <row r="13" spans="1:12" x14ac:dyDescent="0.15">
      <c r="A13" s="3" t="s">
        <v>12</v>
      </c>
      <c r="B13">
        <v>5112</v>
      </c>
      <c r="C13" t="str">
        <f>VLOOKUP($B13,'[1]DB PV ENI'!$A$4:$H$577,2,FALSE)</f>
        <v>CENTRO</v>
      </c>
      <c r="D13" t="str">
        <f>VLOOKUP($B13,'[1]DB PV ENI'!$A$4:$H$577,3,FALSE)</f>
        <v>TOSCANA</v>
      </c>
      <c r="E13" t="str">
        <f>VLOOKUP($B13,'[1]DB PV ENI'!$A$4:$H$577,4,FALSE)</f>
        <v>LUCCA</v>
      </c>
      <c r="F13" t="str">
        <f>VLOOKUP($B13,'[1]DB PV ENI'!$A$4:$H$577,5,FALSE)</f>
        <v>LUCCA</v>
      </c>
      <c r="G13" t="str">
        <f>VLOOKUP($B13,'[1]DB PV ENI'!$A$4:$H$577,6,FALSE)</f>
        <v>FRAZ-S-VITO STR-PROV</v>
      </c>
      <c r="H13">
        <v>52</v>
      </c>
      <c r="I13" s="1">
        <v>26</v>
      </c>
      <c r="J13" s="1">
        <v>26</v>
      </c>
      <c r="K13" s="1">
        <v>23</v>
      </c>
      <c r="L13" s="4">
        <v>0.88461538461538458</v>
      </c>
    </row>
    <row r="14" spans="1:12" x14ac:dyDescent="0.15">
      <c r="A14" s="3" t="s">
        <v>12</v>
      </c>
      <c r="B14">
        <v>25515</v>
      </c>
      <c r="C14" t="str">
        <f>VLOOKUP($B14,'[1]DB PV ENI'!$A$4:$H$577,2,FALSE)</f>
        <v>NORD EST</v>
      </c>
      <c r="D14" t="str">
        <f>VLOOKUP($B14,'[1]DB PV ENI'!$A$4:$H$577,3,FALSE)</f>
        <v>EMILIA-ROMAGNA</v>
      </c>
      <c r="E14" t="str">
        <f>VLOOKUP($B14,'[1]DB PV ENI'!$A$4:$H$577,4,FALSE)</f>
        <v>BOLOGNA</v>
      </c>
      <c r="F14" t="str">
        <f>VLOOKUP($B14,'[1]DB PV ENI'!$A$4:$H$577,5,FALSE)</f>
        <v>BOLOGNA</v>
      </c>
      <c r="G14" t="str">
        <f>VLOOKUP($B14,'[1]DB PV ENI'!$A$4:$H$577,6,FALSE)</f>
        <v>VIA M.E.LEPIDO 206</v>
      </c>
      <c r="H14">
        <v>72</v>
      </c>
      <c r="I14" s="1">
        <v>36</v>
      </c>
      <c r="J14" s="1">
        <v>36</v>
      </c>
      <c r="K14" s="1">
        <v>23</v>
      </c>
      <c r="L14" s="4">
        <v>0.63888888888888884</v>
      </c>
    </row>
    <row r="15" spans="1:12" x14ac:dyDescent="0.15">
      <c r="A15" s="3" t="s">
        <v>12</v>
      </c>
      <c r="B15">
        <v>4845</v>
      </c>
      <c r="C15" t="str">
        <f>VLOOKUP($B15,'[1]DB PV ENI'!$A$4:$H$577,2,FALSE)</f>
        <v>CENTRO</v>
      </c>
      <c r="D15" t="str">
        <f>VLOOKUP($B15,'[1]DB PV ENI'!$A$4:$H$577,3,FALSE)</f>
        <v>TOSCANA</v>
      </c>
      <c r="E15" t="str">
        <f>VLOOKUP($B15,'[1]DB PV ENI'!$A$4:$H$577,4,FALSE)</f>
        <v>FIRENZE</v>
      </c>
      <c r="F15" t="str">
        <f>VLOOKUP($B15,'[1]DB PV ENI'!$A$4:$H$577,5,FALSE)</f>
        <v>FUCECCHIO</v>
      </c>
      <c r="G15" t="str">
        <f>VLOOKUP($B15,'[1]DB PV ENI'!$A$4:$H$577,6,FALSE)</f>
        <v>VIALE BUOZZI 122/124</v>
      </c>
      <c r="H15">
        <v>49</v>
      </c>
      <c r="I15" s="1">
        <v>25</v>
      </c>
      <c r="J15" s="1">
        <v>24</v>
      </c>
      <c r="K15" s="1">
        <v>20</v>
      </c>
      <c r="L15" s="4">
        <v>0.83333333333333337</v>
      </c>
    </row>
    <row r="16" spans="1:12" x14ac:dyDescent="0.15">
      <c r="A16" s="3" t="s">
        <v>12</v>
      </c>
      <c r="B16">
        <v>218</v>
      </c>
      <c r="C16" t="str">
        <f>VLOOKUP($B16,'[1]DB PV ENI'!$A$4:$H$577,2,FALSE)</f>
        <v>NORD OVEST</v>
      </c>
      <c r="D16" t="str">
        <f>VLOOKUP($B16,'[1]DB PV ENI'!$A$4:$H$577,3,FALSE)</f>
        <v>PIEMONTE</v>
      </c>
      <c r="E16" t="str">
        <f>VLOOKUP($B16,'[1]DB PV ENI'!$A$4:$H$577,4,FALSE)</f>
        <v>CUNEO</v>
      </c>
      <c r="F16" t="str">
        <f>VLOOKUP($B16,'[1]DB PV ENI'!$A$4:$H$577,5,FALSE)</f>
        <v>VICOFORTE</v>
      </c>
      <c r="G16" t="str">
        <f>VLOOKUP($B16,'[1]DB PV ENI'!$A$4:$H$577,6,FALSE)</f>
        <v>SS 28 SUD KM. 25 FRAZ.SANTUARIO</v>
      </c>
      <c r="H16">
        <v>49</v>
      </c>
      <c r="I16" s="1">
        <v>22</v>
      </c>
      <c r="J16" s="1">
        <v>27</v>
      </c>
      <c r="K16" s="1">
        <v>20</v>
      </c>
      <c r="L16" s="4">
        <v>0.7407407407407407</v>
      </c>
    </row>
    <row r="17" spans="1:12" x14ac:dyDescent="0.15">
      <c r="A17" s="3" t="s">
        <v>12</v>
      </c>
      <c r="B17">
        <v>2848</v>
      </c>
      <c r="C17" t="str">
        <f>VLOOKUP($B17,'[1]DB PV ENI'!$A$4:$H$577,2,FALSE)</f>
        <v>NORD OVEST</v>
      </c>
      <c r="D17" t="str">
        <f>VLOOKUP($B17,'[1]DB PV ENI'!$A$4:$H$577,3,FALSE)</f>
        <v>LOMBARDIA</v>
      </c>
      <c r="E17" t="str">
        <f>VLOOKUP($B17,'[1]DB PV ENI'!$A$4:$H$577,4,FALSE)</f>
        <v>VARESE</v>
      </c>
      <c r="F17" t="str">
        <f>VLOOKUP($B17,'[1]DB PV ENI'!$A$4:$H$577,5,FALSE)</f>
        <v>CROSIO DELLA VALLE</v>
      </c>
      <c r="G17" t="str">
        <f>VLOOKUP($B17,'[1]DB PV ENI'!$A$4:$H$577,6,FALSE)</f>
        <v>VIA RISORGIMENTO 12</v>
      </c>
      <c r="H17">
        <v>50</v>
      </c>
      <c r="I17" s="1">
        <v>27</v>
      </c>
      <c r="J17" s="1">
        <v>23</v>
      </c>
      <c r="K17" s="1">
        <v>20</v>
      </c>
      <c r="L17" s="4">
        <v>0.86956521739130432</v>
      </c>
    </row>
    <row r="18" spans="1:12" x14ac:dyDescent="0.15">
      <c r="A18" s="3" t="s">
        <v>12</v>
      </c>
      <c r="B18">
        <v>7268</v>
      </c>
      <c r="C18" t="str">
        <f>VLOOKUP($B18,'[1]DB PV ENI'!$A$4:$H$577,2,FALSE)</f>
        <v>CENTRO</v>
      </c>
      <c r="D18" t="str">
        <f>VLOOKUP($B18,'[1]DB PV ENI'!$A$4:$H$577,3,FALSE)</f>
        <v>MOLISE</v>
      </c>
      <c r="E18" t="str">
        <f>VLOOKUP($B18,'[1]DB PV ENI'!$A$4:$H$577,4,FALSE)</f>
        <v>CAMPOBASSO</v>
      </c>
      <c r="F18" t="str">
        <f>VLOOKUP($B18,'[1]DB PV ENI'!$A$4:$H$577,5,FALSE)</f>
        <v>TERMOLI</v>
      </c>
      <c r="G18" t="str">
        <f>VLOOKUP($B18,'[1]DB PV ENI'!$A$4:$H$577,6,FALSE)</f>
        <v>VIA MARTIRI DELLA RESISTENZA, 67</v>
      </c>
      <c r="H18">
        <v>42</v>
      </c>
      <c r="I18" s="1">
        <v>20</v>
      </c>
      <c r="J18" s="1">
        <v>22</v>
      </c>
      <c r="K18" s="1">
        <v>19</v>
      </c>
      <c r="L18" s="4">
        <v>0.86363636363636365</v>
      </c>
    </row>
    <row r="19" spans="1:12" x14ac:dyDescent="0.15">
      <c r="A19" s="3" t="s">
        <v>12</v>
      </c>
      <c r="B19">
        <v>6249</v>
      </c>
      <c r="C19" t="str">
        <f>VLOOKUP($B19,'[1]DB PV ENI'!$A$4:$H$577,2,FALSE)</f>
        <v>NORD EST</v>
      </c>
      <c r="D19" t="str">
        <f>VLOOKUP($B19,'[1]DB PV ENI'!$A$4:$H$577,3,FALSE)</f>
        <v>EMILIA-ROMAGNA</v>
      </c>
      <c r="E19" t="str">
        <f>VLOOKUP($B19,'[1]DB PV ENI'!$A$4:$H$577,4,FALSE)</f>
        <v>MODENA</v>
      </c>
      <c r="F19" t="str">
        <f>VLOOKUP($B19,'[1]DB PV ENI'!$A$4:$H$577,5,FALSE)</f>
        <v>SASSUOLO</v>
      </c>
      <c r="G19" t="str">
        <f>VLOOKUP($B19,'[1]DB PV ENI'!$A$4:$H$577,6,FALSE)</f>
        <v>VIA PIA</v>
      </c>
      <c r="H19">
        <v>46</v>
      </c>
      <c r="I19" s="1">
        <v>27</v>
      </c>
      <c r="J19" s="1">
        <v>19</v>
      </c>
      <c r="K19" s="1">
        <v>19</v>
      </c>
      <c r="L19" s="4">
        <v>1</v>
      </c>
    </row>
    <row r="20" spans="1:12" x14ac:dyDescent="0.15">
      <c r="A20" s="3" t="s">
        <v>12</v>
      </c>
      <c r="B20">
        <v>51998</v>
      </c>
      <c r="C20" t="str">
        <f>VLOOKUP($B20,'[1]DB PV ENI'!$A$4:$H$577,2,FALSE)</f>
        <v>NORD OVEST</v>
      </c>
      <c r="D20" t="str">
        <f>VLOOKUP($B20,'[1]DB PV ENI'!$A$4:$H$577,3,FALSE)</f>
        <v>LOMBARDIA</v>
      </c>
      <c r="E20" t="str">
        <f>VLOOKUP($B20,'[1]DB PV ENI'!$A$4:$H$577,4,FALSE)</f>
        <v>MONZA E DELLA BRIANZA</v>
      </c>
      <c r="F20" t="str">
        <f>VLOOKUP($B20,'[1]DB PV ENI'!$A$4:$H$577,5,FALSE)</f>
        <v>LISSONE</v>
      </c>
      <c r="G20" t="str">
        <f>VLOOKUP($B20,'[1]DB PV ENI'!$A$4:$H$577,6,FALSE)</f>
        <v>V. MATTEOTTI ANG. COMO</v>
      </c>
      <c r="H20">
        <v>57</v>
      </c>
      <c r="I20" s="1">
        <v>29</v>
      </c>
      <c r="J20" s="1">
        <v>28</v>
      </c>
      <c r="K20" s="1">
        <v>19</v>
      </c>
      <c r="L20" s="4">
        <v>0.6785714285714286</v>
      </c>
    </row>
    <row r="21" spans="1:12" x14ac:dyDescent="0.15">
      <c r="A21" s="3" t="s">
        <v>12</v>
      </c>
      <c r="B21">
        <v>17131</v>
      </c>
      <c r="C21" t="str">
        <f>VLOOKUP($B21,'[1]DB PV ENI'!$A$4:$H$577,2,FALSE)</f>
        <v>CENTRO</v>
      </c>
      <c r="D21" t="str">
        <f>VLOOKUP($B21,'[1]DB PV ENI'!$A$4:$H$577,3,FALSE)</f>
        <v>LAZIO</v>
      </c>
      <c r="E21" t="str">
        <f>VLOOKUP($B21,'[1]DB PV ENI'!$A$4:$H$577,4,FALSE)</f>
        <v>ROMA</v>
      </c>
      <c r="F21" t="str">
        <f>VLOOKUP($B21,'[1]DB PV ENI'!$A$4:$H$577,5,FALSE)</f>
        <v>ROMA</v>
      </c>
      <c r="G21" t="str">
        <f>VLOOKUP($B21,'[1]DB PV ENI'!$A$4:$H$577,6,FALSE)</f>
        <v>VIA LAURENTINA 453</v>
      </c>
      <c r="H21">
        <v>69</v>
      </c>
      <c r="I21" s="1">
        <v>31</v>
      </c>
      <c r="J21" s="1">
        <v>38</v>
      </c>
      <c r="K21" s="1">
        <v>18</v>
      </c>
      <c r="L21" s="4">
        <v>0.47368421052631576</v>
      </c>
    </row>
    <row r="22" spans="1:12" x14ac:dyDescent="0.15">
      <c r="A22" s="3" t="s">
        <v>12</v>
      </c>
      <c r="B22">
        <v>7081</v>
      </c>
      <c r="C22" t="str">
        <f>VLOOKUP($B22,'[1]DB PV ENI'!$A$4:$H$577,2,FALSE)</f>
        <v>CENTRO</v>
      </c>
      <c r="D22" t="str">
        <f>VLOOKUP($B22,'[1]DB PV ENI'!$A$4:$H$577,3,FALSE)</f>
        <v>LAZIO</v>
      </c>
      <c r="E22" t="str">
        <f>VLOOKUP($B22,'[1]DB PV ENI'!$A$4:$H$577,4,FALSE)</f>
        <v>ROMA</v>
      </c>
      <c r="F22" t="str">
        <f>VLOOKUP($B22,'[1]DB PV ENI'!$A$4:$H$577,5,FALSE)</f>
        <v>COLLEFERRO</v>
      </c>
      <c r="G22" t="str">
        <f>VLOOKUP($B22,'[1]DB PV ENI'!$A$4:$H$577,6,FALSE)</f>
        <v>CASILINA,  0928</v>
      </c>
      <c r="H22">
        <v>37</v>
      </c>
      <c r="I22" s="1">
        <v>19</v>
      </c>
      <c r="J22" s="1">
        <v>18</v>
      </c>
      <c r="K22" s="1">
        <v>16</v>
      </c>
      <c r="L22" s="4">
        <v>0.88888888888888884</v>
      </c>
    </row>
    <row r="23" spans="1:12" x14ac:dyDescent="0.15">
      <c r="A23" s="3" t="s">
        <v>12</v>
      </c>
      <c r="B23">
        <v>19568</v>
      </c>
      <c r="C23" t="str">
        <f>VLOOKUP($B23,'[1]DB PV ENI'!$A$4:$H$577,2,FALSE)</f>
        <v>SUD</v>
      </c>
      <c r="D23" t="str">
        <f>VLOOKUP($B23,'[1]DB PV ENI'!$A$4:$H$577,3,FALSE)</f>
        <v>SICILIA</v>
      </c>
      <c r="E23" t="str">
        <f>VLOOKUP($B23,'[1]DB PV ENI'!$A$4:$H$577,4,FALSE)</f>
        <v>CATANIA</v>
      </c>
      <c r="F23" t="str">
        <f>VLOOKUP($B23,'[1]DB PV ENI'!$A$4:$H$577,5,FALSE)</f>
        <v>MASCALUCIA</v>
      </c>
      <c r="G23" t="str">
        <f>VLOOKUP($B23,'[1]DB PV ENI'!$A$4:$H$577,6,FALSE)</f>
        <v>VIA ALCIDE DE GASPERI</v>
      </c>
      <c r="H23">
        <v>73</v>
      </c>
      <c r="I23" s="1">
        <v>26</v>
      </c>
      <c r="J23" s="1">
        <v>47</v>
      </c>
      <c r="K23" s="1">
        <v>16</v>
      </c>
      <c r="L23" s="4">
        <v>0.34042553191489361</v>
      </c>
    </row>
    <row r="24" spans="1:12" x14ac:dyDescent="0.15">
      <c r="A24" s="3" t="s">
        <v>12</v>
      </c>
      <c r="B24">
        <v>5245</v>
      </c>
      <c r="C24" t="str">
        <f>VLOOKUP($B24,'[1]DB PV ENI'!$A$4:$H$577,2,FALSE)</f>
        <v>CENTRO</v>
      </c>
      <c r="D24" t="str">
        <f>VLOOKUP($B24,'[1]DB PV ENI'!$A$4:$H$577,3,FALSE)</f>
        <v>TOSCANA</v>
      </c>
      <c r="E24" t="str">
        <f>VLOOKUP($B24,'[1]DB PV ENI'!$A$4:$H$577,4,FALSE)</f>
        <v>PISA</v>
      </c>
      <c r="F24" t="str">
        <f>VLOOKUP($B24,'[1]DB PV ENI'!$A$4:$H$577,5,FALSE)</f>
        <v>VECCHIANO</v>
      </c>
      <c r="G24" t="str">
        <f>VLOOKUP($B24,'[1]DB PV ENI'!$A$4:$H$577,6,FALSE)</f>
        <v>VIA PROV.LE VECCHIANESE 38</v>
      </c>
      <c r="H24">
        <v>36</v>
      </c>
      <c r="I24" s="1">
        <v>19</v>
      </c>
      <c r="J24" s="1">
        <v>17</v>
      </c>
      <c r="K24" s="1">
        <v>15</v>
      </c>
      <c r="L24" s="4">
        <v>0.88235294117647056</v>
      </c>
    </row>
    <row r="25" spans="1:12" x14ac:dyDescent="0.15">
      <c r="A25" s="3" t="s">
        <v>12</v>
      </c>
      <c r="B25">
        <v>22960</v>
      </c>
      <c r="C25" t="str">
        <f>VLOOKUP($B25,'[1]DB PV ENI'!$A$4:$H$577,2,FALSE)</f>
        <v>NORD EST</v>
      </c>
      <c r="D25" t="str">
        <f>VLOOKUP($B25,'[1]DB PV ENI'!$A$4:$H$577,3,FALSE)</f>
        <v>EMILIA-ROMAGNA</v>
      </c>
      <c r="E25" t="str">
        <f>VLOOKUP($B25,'[1]DB PV ENI'!$A$4:$H$577,4,FALSE)</f>
        <v>PARMA</v>
      </c>
      <c r="F25" t="str">
        <f>VLOOKUP($B25,'[1]DB PV ENI'!$A$4:$H$577,5,FALSE)</f>
        <v>PARMA</v>
      </c>
      <c r="G25" t="str">
        <f>VLOOKUP($B25,'[1]DB PV ENI'!$A$4:$H$577,6,FALSE)</f>
        <v>VIALE EUROPA 111A</v>
      </c>
      <c r="H25">
        <v>56</v>
      </c>
      <c r="I25" s="1">
        <v>23</v>
      </c>
      <c r="J25" s="1">
        <v>33</v>
      </c>
      <c r="K25" s="1">
        <v>15</v>
      </c>
      <c r="L25" s="4">
        <v>0.45454545454545453</v>
      </c>
    </row>
    <row r="26" spans="1:12" x14ac:dyDescent="0.15">
      <c r="A26" s="3" t="s">
        <v>12</v>
      </c>
      <c r="B26">
        <v>2862</v>
      </c>
      <c r="C26" t="str">
        <f>VLOOKUP($B26,'[1]DB PV ENI'!$A$4:$H$577,2,FALSE)</f>
        <v>NORD OVEST</v>
      </c>
      <c r="D26" t="str">
        <f>VLOOKUP($B26,'[1]DB PV ENI'!$A$4:$H$577,3,FALSE)</f>
        <v>LOMBARDIA</v>
      </c>
      <c r="E26" t="str">
        <f>VLOOKUP($B26,'[1]DB PV ENI'!$A$4:$H$577,4,FALSE)</f>
        <v>VARESE</v>
      </c>
      <c r="F26" t="str">
        <f>VLOOKUP($B26,'[1]DB PV ENI'!$A$4:$H$577,5,FALSE)</f>
        <v>CASSANO MAGNAGO</v>
      </c>
      <c r="G26" t="str">
        <f>VLOOKUP($B26,'[1]DB PV ENI'!$A$4:$H$577,6,FALSE)</f>
        <v>VIA MARIO ALBINO BONICALZA 127</v>
      </c>
      <c r="H26">
        <v>45</v>
      </c>
      <c r="I26" s="1">
        <v>21</v>
      </c>
      <c r="J26" s="1">
        <v>24</v>
      </c>
      <c r="K26" s="1">
        <v>15</v>
      </c>
      <c r="L26" s="4">
        <v>0.625</v>
      </c>
    </row>
    <row r="27" spans="1:12" x14ac:dyDescent="0.15">
      <c r="A27" s="3" t="s">
        <v>12</v>
      </c>
      <c r="B27">
        <v>51755</v>
      </c>
      <c r="C27" t="str">
        <f>VLOOKUP($B27,'[1]DB PV ENI'!$A$4:$H$577,2,FALSE)</f>
        <v>NORD OVEST</v>
      </c>
      <c r="D27" t="str">
        <f>VLOOKUP($B27,'[1]DB PV ENI'!$A$4:$H$577,3,FALSE)</f>
        <v>LOMBARDIA</v>
      </c>
      <c r="E27" t="str">
        <f>VLOOKUP($B27,'[1]DB PV ENI'!$A$4:$H$577,4,FALSE)</f>
        <v>BRESCIA</v>
      </c>
      <c r="F27" t="str">
        <f>VLOOKUP($B27,'[1]DB PV ENI'!$A$4:$H$577,5,FALSE)</f>
        <v>BRESCIA</v>
      </c>
      <c r="G27" t="str">
        <f>VLOOKUP($B27,'[1]DB PV ENI'!$A$4:$H$577,6,FALSE)</f>
        <v>VIA DALMAZIA 44</v>
      </c>
      <c r="H27">
        <v>93</v>
      </c>
      <c r="I27" s="1">
        <v>27</v>
      </c>
      <c r="J27" s="1">
        <v>66</v>
      </c>
      <c r="K27" s="1">
        <v>15</v>
      </c>
      <c r="L27" s="4">
        <v>0.22727272727272727</v>
      </c>
    </row>
    <row r="28" spans="1:12" x14ac:dyDescent="0.15">
      <c r="A28" s="3" t="s">
        <v>12</v>
      </c>
      <c r="B28">
        <v>5291</v>
      </c>
      <c r="C28" t="str">
        <f>VLOOKUP($B28,'[1]DB PV ENI'!$A$4:$H$577,2,FALSE)</f>
        <v>CENTRO</v>
      </c>
      <c r="D28" t="str">
        <f>VLOOKUP($B28,'[1]DB PV ENI'!$A$4:$H$577,3,FALSE)</f>
        <v>TOSCANA</v>
      </c>
      <c r="E28" t="str">
        <f>VLOOKUP($B28,'[1]DB PV ENI'!$A$4:$H$577,4,FALSE)</f>
        <v>PISA</v>
      </c>
      <c r="F28" t="str">
        <f>VLOOKUP($B28,'[1]DB PV ENI'!$A$4:$H$577,5,FALSE)</f>
        <v>PISA</v>
      </c>
      <c r="G28" t="str">
        <f>VLOOKUP($B28,'[1]DB PV ENI'!$A$4:$H$577,6,FALSE)</f>
        <v>VIA CISANELLO 170</v>
      </c>
      <c r="H28">
        <v>48</v>
      </c>
      <c r="I28" s="1">
        <v>31</v>
      </c>
      <c r="J28" s="1">
        <v>17</v>
      </c>
      <c r="K28" s="1">
        <v>14</v>
      </c>
      <c r="L28" s="4">
        <v>0.82352941176470584</v>
      </c>
    </row>
    <row r="29" spans="1:12" x14ac:dyDescent="0.15">
      <c r="A29" s="3" t="s">
        <v>12</v>
      </c>
      <c r="B29">
        <v>7146</v>
      </c>
      <c r="C29" t="str">
        <f>VLOOKUP($B29,'[1]DB PV ENI'!$A$4:$H$577,2,FALSE)</f>
        <v>CENTRO</v>
      </c>
      <c r="D29" t="str">
        <f>VLOOKUP($B29,'[1]DB PV ENI'!$A$4:$H$577,3,FALSE)</f>
        <v>LAZIO</v>
      </c>
      <c r="E29" t="str">
        <f>VLOOKUP($B29,'[1]DB PV ENI'!$A$4:$H$577,4,FALSE)</f>
        <v>ROMA</v>
      </c>
      <c r="F29" t="str">
        <f>VLOOKUP($B29,'[1]DB PV ENI'!$A$4:$H$577,5,FALSE)</f>
        <v>ROMA</v>
      </c>
      <c r="G29" t="str">
        <f>VLOOKUP($B29,'[1]DB PV ENI'!$A$4:$H$577,6,FALSE)</f>
        <v>TIBURTINA 0400</v>
      </c>
      <c r="H29">
        <v>61</v>
      </c>
      <c r="I29" s="1">
        <v>31</v>
      </c>
      <c r="J29" s="1">
        <v>30</v>
      </c>
      <c r="K29" s="1">
        <v>14</v>
      </c>
      <c r="L29" s="4">
        <v>0.46666666666666667</v>
      </c>
    </row>
    <row r="30" spans="1:12" x14ac:dyDescent="0.15">
      <c r="A30" s="3" t="s">
        <v>12</v>
      </c>
      <c r="B30">
        <v>26608</v>
      </c>
      <c r="C30" t="str">
        <f>VLOOKUP($B30,'[1]DB PV ENI'!$A$4:$H$577,2,FALSE)</f>
        <v>CENTRO</v>
      </c>
      <c r="D30" t="str">
        <f>VLOOKUP($B30,'[1]DB PV ENI'!$A$4:$H$577,3,FALSE)</f>
        <v>ABRUZZO</v>
      </c>
      <c r="E30" t="str">
        <f>VLOOKUP($B30,'[1]DB PV ENI'!$A$4:$H$577,4,FALSE)</f>
        <v>CHIETI</v>
      </c>
      <c r="F30" t="str">
        <f>VLOOKUP($B30,'[1]DB PV ENI'!$A$4:$H$577,5,FALSE)</f>
        <v>ORTONA</v>
      </c>
      <c r="G30" t="str">
        <f>VLOOKUP($B30,'[1]DB PV ENI'!$A$4:$H$577,6,FALSE)</f>
        <v>CONTRADA S. LIBERATA SS 16</v>
      </c>
      <c r="H30">
        <v>35</v>
      </c>
      <c r="I30" s="1">
        <v>16</v>
      </c>
      <c r="J30" s="1">
        <v>19</v>
      </c>
      <c r="K30" s="1">
        <v>14</v>
      </c>
      <c r="L30" s="4">
        <v>0.73684210526315785</v>
      </c>
    </row>
    <row r="31" spans="1:12" x14ac:dyDescent="0.15">
      <c r="A31" s="3" t="s">
        <v>12</v>
      </c>
      <c r="B31">
        <v>11740</v>
      </c>
      <c r="C31" t="str">
        <f>VLOOKUP($B31,'[1]DB PV ENI'!$A$4:$H$577,2,FALSE)</f>
        <v>NORD OVEST</v>
      </c>
      <c r="D31" t="str">
        <f>VLOOKUP($B31,'[1]DB PV ENI'!$A$4:$H$577,3,FALSE)</f>
        <v>LOMBARDIA</v>
      </c>
      <c r="E31" t="str">
        <f>VLOOKUP($B31,'[1]DB PV ENI'!$A$4:$H$577,4,FALSE)</f>
        <v>BRESCIA</v>
      </c>
      <c r="F31" t="str">
        <f>VLOOKUP($B31,'[1]DB PV ENI'!$A$4:$H$577,5,FALSE)</f>
        <v>CAPRIOLO</v>
      </c>
      <c r="G31" t="str">
        <f>VLOOKUP($B31,'[1]DB PV ENI'!$A$4:$H$577,6,FALSE)</f>
        <v>VIA PALAZZOLO S.S.469</v>
      </c>
      <c r="H31">
        <v>63</v>
      </c>
      <c r="I31" s="1">
        <v>25</v>
      </c>
      <c r="J31" s="1">
        <v>38</v>
      </c>
      <c r="K31" s="1">
        <v>14</v>
      </c>
      <c r="L31" s="4">
        <v>0.36842105263157893</v>
      </c>
    </row>
    <row r="32" spans="1:12" x14ac:dyDescent="0.15">
      <c r="A32" s="3" t="s">
        <v>12</v>
      </c>
      <c r="B32">
        <v>1837</v>
      </c>
      <c r="C32" t="str">
        <f>VLOOKUP($B32,'[1]DB PV ENI'!$A$4:$H$577,2,FALSE)</f>
        <v>NORD OVEST</v>
      </c>
      <c r="D32" t="str">
        <f>VLOOKUP($B32,'[1]DB PV ENI'!$A$4:$H$577,3,FALSE)</f>
        <v>LOMBARDIA</v>
      </c>
      <c r="E32" t="str">
        <f>VLOOKUP($B32,'[1]DB PV ENI'!$A$4:$H$577,4,FALSE)</f>
        <v>LECCO</v>
      </c>
      <c r="F32" t="str">
        <f>VLOOKUP($B32,'[1]DB PV ENI'!$A$4:$H$577,5,FALSE)</f>
        <v>LECCO</v>
      </c>
      <c r="G32" t="str">
        <f>VLOOKUP($B32,'[1]DB PV ENI'!$A$4:$H$577,6,FALSE)</f>
        <v>CORSO MATTEOTTI CASTELLO</v>
      </c>
      <c r="H32">
        <v>45</v>
      </c>
      <c r="I32" s="1">
        <v>21</v>
      </c>
      <c r="J32" s="1">
        <v>24</v>
      </c>
      <c r="K32" s="1">
        <v>13</v>
      </c>
      <c r="L32" s="4">
        <v>0.54166666666666663</v>
      </c>
    </row>
    <row r="33" spans="1:12" x14ac:dyDescent="0.15">
      <c r="A33" s="3" t="s">
        <v>12</v>
      </c>
      <c r="B33">
        <v>8078</v>
      </c>
      <c r="C33" t="str">
        <f>VLOOKUP($B33,'[1]DB PV ENI'!$A$4:$H$577,2,FALSE)</f>
        <v>SUD</v>
      </c>
      <c r="D33" t="str">
        <f>VLOOKUP($B33,'[1]DB PV ENI'!$A$4:$H$577,3,FALSE)</f>
        <v>CAMPANIA</v>
      </c>
      <c r="E33" t="str">
        <f>VLOOKUP($B33,'[1]DB PV ENI'!$A$4:$H$577,4,FALSE)</f>
        <v>NAPOLI</v>
      </c>
      <c r="F33" t="str">
        <f>VLOOKUP($B33,'[1]DB PV ENI'!$A$4:$H$577,5,FALSE)</f>
        <v>CASORIA</v>
      </c>
      <c r="G33" t="str">
        <f>VLOOKUP($B33,'[1]DB PV ENI'!$A$4:$H$577,6,FALSE)</f>
        <v>VIA A.DIAZ</v>
      </c>
      <c r="H33">
        <v>35</v>
      </c>
      <c r="I33" s="1">
        <v>18</v>
      </c>
      <c r="J33" s="1">
        <v>17</v>
      </c>
      <c r="K33" s="1">
        <v>13</v>
      </c>
      <c r="L33" s="4">
        <v>0.76470588235294112</v>
      </c>
    </row>
    <row r="34" spans="1:12" x14ac:dyDescent="0.15">
      <c r="A34" s="3" t="s">
        <v>12</v>
      </c>
      <c r="B34">
        <v>26869</v>
      </c>
      <c r="C34" t="str">
        <f>VLOOKUP($B34,'[1]DB PV ENI'!$A$4:$H$577,2,FALSE)</f>
        <v>CENTRO</v>
      </c>
      <c r="D34" t="str">
        <f>VLOOKUP($B34,'[1]DB PV ENI'!$A$4:$H$577,3,FALSE)</f>
        <v>ABRUZZO</v>
      </c>
      <c r="E34" t="str">
        <f>VLOOKUP($B34,'[1]DB PV ENI'!$A$4:$H$577,4,FALSE)</f>
        <v>PESCARA</v>
      </c>
      <c r="F34" t="str">
        <f>VLOOKUP($B34,'[1]DB PV ENI'!$A$4:$H$577,5,FALSE)</f>
        <v>CITTÀ SANT'ANGELO</v>
      </c>
      <c r="G34" t="str">
        <f>VLOOKUP($B34,'[1]DB PV ENI'!$A$4:$H$577,6,FALSE)</f>
        <v>VIA XXII MAGGIO 1944</v>
      </c>
      <c r="H34">
        <v>32</v>
      </c>
      <c r="I34" s="1">
        <v>15</v>
      </c>
      <c r="J34" s="1">
        <v>17</v>
      </c>
      <c r="K34" s="1">
        <v>12</v>
      </c>
      <c r="L34" s="4">
        <v>0.70588235294117652</v>
      </c>
    </row>
    <row r="35" spans="1:12" x14ac:dyDescent="0.15">
      <c r="A35" s="3" t="s">
        <v>12</v>
      </c>
      <c r="B35">
        <v>9651</v>
      </c>
      <c r="C35" t="str">
        <f>VLOOKUP($B35,'[1]DB PV ENI'!$A$4:$H$577,2,FALSE)</f>
        <v>SUD</v>
      </c>
      <c r="D35" t="str">
        <f>VLOOKUP($B35,'[1]DB PV ENI'!$A$4:$H$577,3,FALSE)</f>
        <v>SICILIA</v>
      </c>
      <c r="E35" t="str">
        <f>VLOOKUP($B35,'[1]DB PV ENI'!$A$4:$H$577,4,FALSE)</f>
        <v>MESSINA</v>
      </c>
      <c r="F35" t="str">
        <f>VLOOKUP($B35,'[1]DB PV ENI'!$A$4:$H$577,5,FALSE)</f>
        <v>VILLAFRANCA TIRRENA</v>
      </c>
      <c r="G35" t="str">
        <f>VLOOKUP($B35,'[1]DB PV ENI'!$A$4:$H$577,6,FALSE)</f>
        <v>VILLAFRANCA TIRRENA SNC</v>
      </c>
      <c r="H35">
        <v>48</v>
      </c>
      <c r="I35" s="1">
        <v>24</v>
      </c>
      <c r="J35" s="1">
        <v>24</v>
      </c>
      <c r="K35" s="1">
        <v>12</v>
      </c>
      <c r="L35" s="4">
        <v>0.5</v>
      </c>
    </row>
    <row r="36" spans="1:12" x14ac:dyDescent="0.15">
      <c r="A36" s="3" t="s">
        <v>12</v>
      </c>
      <c r="B36">
        <v>28007</v>
      </c>
      <c r="C36" t="str">
        <f>VLOOKUP($B36,'[1]DB PV ENI'!$A$4:$H$577,2,FALSE)</f>
        <v>SUD</v>
      </c>
      <c r="D36" t="str">
        <f>VLOOKUP($B36,'[1]DB PV ENI'!$A$4:$H$577,3,FALSE)</f>
        <v>CAMPANIA</v>
      </c>
      <c r="E36" t="str">
        <f>VLOOKUP($B36,'[1]DB PV ENI'!$A$4:$H$577,4,FALSE)</f>
        <v>NAPOLI</v>
      </c>
      <c r="F36" t="str">
        <f>VLOOKUP($B36,'[1]DB PV ENI'!$A$4:$H$577,5,FALSE)</f>
        <v>NAPOLI</v>
      </c>
      <c r="G36" t="str">
        <f>VLOOKUP($B36,'[1]DB PV ENI'!$A$4:$H$577,6,FALSE)</f>
        <v>VIA A FALCONE 224</v>
      </c>
      <c r="H36">
        <v>34</v>
      </c>
      <c r="I36" s="1">
        <v>17</v>
      </c>
      <c r="J36" s="1">
        <v>17</v>
      </c>
      <c r="K36" s="1">
        <v>12</v>
      </c>
      <c r="L36" s="4">
        <v>0.70588235294117652</v>
      </c>
    </row>
    <row r="37" spans="1:12" x14ac:dyDescent="0.15">
      <c r="A37" s="3" t="s">
        <v>12</v>
      </c>
      <c r="B37">
        <v>51840</v>
      </c>
      <c r="C37" t="str">
        <f>VLOOKUP($B37,'[1]DB PV ENI'!$A$4:$H$577,2,FALSE)</f>
        <v>CENTRO</v>
      </c>
      <c r="D37" t="str">
        <f>VLOOKUP($B37,'[1]DB PV ENI'!$A$4:$H$577,3,FALSE)</f>
        <v>TOSCANA</v>
      </c>
      <c r="E37" t="str">
        <f>VLOOKUP($B37,'[1]DB PV ENI'!$A$4:$H$577,4,FALSE)</f>
        <v>FIRENZE</v>
      </c>
      <c r="F37" t="str">
        <f>VLOOKUP($B37,'[1]DB PV ENI'!$A$4:$H$577,5,FALSE)</f>
        <v>BAGNO A RIPOLI</v>
      </c>
      <c r="G37" t="str">
        <f>VLOOKUP($B37,'[1]DB PV ENI'!$A$4:$H$577,6,FALSE)</f>
        <v>SS 222 KM 2+340 PONTE A EMA</v>
      </c>
      <c r="H37">
        <v>26</v>
      </c>
      <c r="I37" s="1">
        <v>17</v>
      </c>
      <c r="J37" s="1">
        <v>9</v>
      </c>
      <c r="K37" s="1">
        <v>11</v>
      </c>
      <c r="L37" s="4">
        <v>1.2222222222222223</v>
      </c>
    </row>
    <row r="38" spans="1:12" x14ac:dyDescent="0.15">
      <c r="A38" s="3" t="s">
        <v>12</v>
      </c>
      <c r="B38">
        <v>13948</v>
      </c>
      <c r="C38" t="str">
        <f>VLOOKUP($B38,'[1]DB PV ENI'!$A$4:$H$577,2,FALSE)</f>
        <v>NORD EST</v>
      </c>
      <c r="D38" t="str">
        <f>VLOOKUP($B38,'[1]DB PV ENI'!$A$4:$H$577,3,FALSE)</f>
        <v>VENETO</v>
      </c>
      <c r="E38" t="str">
        <f>VLOOKUP($B38,'[1]DB PV ENI'!$A$4:$H$577,4,FALSE)</f>
        <v>VICENZA</v>
      </c>
      <c r="F38" t="str">
        <f>VLOOKUP($B38,'[1]DB PV ENI'!$A$4:$H$577,5,FALSE)</f>
        <v>CORNEDO VICENTINO</v>
      </c>
      <c r="G38" t="str">
        <f>VLOOKUP($B38,'[1]DB PV ENI'!$A$4:$H$577,6,FALSE)</f>
        <v>VIA MONTE ORTIGARA 24</v>
      </c>
      <c r="H38">
        <v>34</v>
      </c>
      <c r="I38" s="1">
        <v>13</v>
      </c>
      <c r="J38" s="1">
        <v>21</v>
      </c>
      <c r="K38" s="1">
        <v>11</v>
      </c>
      <c r="L38" s="4">
        <v>0.52380952380952384</v>
      </c>
    </row>
    <row r="39" spans="1:12" x14ac:dyDescent="0.15">
      <c r="A39" s="3" t="s">
        <v>12</v>
      </c>
      <c r="B39">
        <v>1724</v>
      </c>
      <c r="C39" t="str">
        <f>VLOOKUP($B39,'[1]DB PV ENI'!$A$4:$H$577,2,FALSE)</f>
        <v>NORD OVEST</v>
      </c>
      <c r="D39" t="str">
        <f>VLOOKUP($B39,'[1]DB PV ENI'!$A$4:$H$577,3,FALSE)</f>
        <v>LOMBARDIA</v>
      </c>
      <c r="E39" t="str">
        <f>VLOOKUP($B39,'[1]DB PV ENI'!$A$4:$H$577,4,FALSE)</f>
        <v>BRESCIA</v>
      </c>
      <c r="F39" t="str">
        <f>VLOOKUP($B39,'[1]DB PV ENI'!$A$4:$H$577,5,FALSE)</f>
        <v>ORZIVECCHI</v>
      </c>
      <c r="G39" t="str">
        <f>VLOOKUP($B39,'[1]DB PV ENI'!$A$4:$H$577,6,FALSE)</f>
        <v>VIA PICCINELLI 78</v>
      </c>
      <c r="H39">
        <v>32</v>
      </c>
      <c r="I39" s="1">
        <v>15</v>
      </c>
      <c r="J39" s="1">
        <v>17</v>
      </c>
      <c r="K39" s="1">
        <v>11</v>
      </c>
      <c r="L39" s="4">
        <v>0.6470588235294118</v>
      </c>
    </row>
    <row r="40" spans="1:12" x14ac:dyDescent="0.15">
      <c r="A40" s="3" t="s">
        <v>12</v>
      </c>
      <c r="B40">
        <v>1740</v>
      </c>
      <c r="C40" t="str">
        <f>VLOOKUP($B40,'[1]DB PV ENI'!$A$4:$H$577,2,FALSE)</f>
        <v>NORD OVEST</v>
      </c>
      <c r="D40" t="str">
        <f>VLOOKUP($B40,'[1]DB PV ENI'!$A$4:$H$577,3,FALSE)</f>
        <v>LOMBARDIA</v>
      </c>
      <c r="E40" t="str">
        <f>VLOOKUP($B40,'[1]DB PV ENI'!$A$4:$H$577,4,FALSE)</f>
        <v>BRESCIA</v>
      </c>
      <c r="F40" t="str">
        <f>VLOOKUP($B40,'[1]DB PV ENI'!$A$4:$H$577,5,FALSE)</f>
        <v>OSPITALETTO</v>
      </c>
      <c r="G40" t="str">
        <f>VLOOKUP($B40,'[1]DB PV ENI'!$A$4:$H$577,6,FALSE)</f>
        <v>S S 11 KM 224 + 521</v>
      </c>
      <c r="H40">
        <v>50</v>
      </c>
      <c r="I40" s="1">
        <v>19</v>
      </c>
      <c r="J40" s="1">
        <v>31</v>
      </c>
      <c r="K40" s="1">
        <v>11</v>
      </c>
      <c r="L40" s="4">
        <v>0.35483870967741937</v>
      </c>
    </row>
    <row r="41" spans="1:12" x14ac:dyDescent="0.15">
      <c r="A41" s="3" t="s">
        <v>12</v>
      </c>
      <c r="B41">
        <v>9684</v>
      </c>
      <c r="C41" t="str">
        <f>VLOOKUP($B41,'[1]DB PV ENI'!$A$4:$H$577,2,FALSE)</f>
        <v>SUD</v>
      </c>
      <c r="D41" t="str">
        <f>VLOOKUP($B41,'[1]DB PV ENI'!$A$4:$H$577,3,FALSE)</f>
        <v>SICILIA</v>
      </c>
      <c r="E41" t="str">
        <f>VLOOKUP($B41,'[1]DB PV ENI'!$A$4:$H$577,4,FALSE)</f>
        <v>MESSINA</v>
      </c>
      <c r="F41" t="str">
        <f>VLOOKUP($B41,'[1]DB PV ENI'!$A$4:$H$577,5,FALSE)</f>
        <v>BARCELLONA POZZO DI GOTTO</v>
      </c>
      <c r="G41" t="str">
        <f>VLOOKUP($B41,'[1]DB PV ENI'!$A$4:$H$577,6,FALSE)</f>
        <v>VIA PAPA GIOVANNI XXIII N.51.</v>
      </c>
      <c r="H41">
        <v>32</v>
      </c>
      <c r="I41" s="1">
        <v>15</v>
      </c>
      <c r="J41" s="1">
        <v>17</v>
      </c>
      <c r="K41" s="1">
        <v>11</v>
      </c>
      <c r="L41" s="4">
        <v>0.6470588235294118</v>
      </c>
    </row>
    <row r="42" spans="1:12" x14ac:dyDescent="0.15">
      <c r="A42" s="3" t="s">
        <v>12</v>
      </c>
      <c r="B42">
        <v>5349</v>
      </c>
      <c r="C42" t="str">
        <f>VLOOKUP($B42,'[1]DB PV ENI'!$A$4:$H$577,2,FALSE)</f>
        <v>CENTRO</v>
      </c>
      <c r="D42" t="str">
        <f>VLOOKUP($B42,'[1]DB PV ENI'!$A$4:$H$577,3,FALSE)</f>
        <v>TOSCANA</v>
      </c>
      <c r="E42" t="str">
        <f>VLOOKUP($B42,'[1]DB PV ENI'!$A$4:$H$577,4,FALSE)</f>
        <v>PISTOIA</v>
      </c>
      <c r="F42" t="str">
        <f>VLOOKUP($B42,'[1]DB PV ENI'!$A$4:$H$577,5,FALSE)</f>
        <v>PISTOIA</v>
      </c>
      <c r="G42" t="str">
        <f>VLOOKUP($B42,'[1]DB PV ENI'!$A$4:$H$577,6,FALSE)</f>
        <v>MACALLE', 26</v>
      </c>
      <c r="H42">
        <v>40</v>
      </c>
      <c r="I42" s="1">
        <v>25</v>
      </c>
      <c r="J42" s="1">
        <v>15</v>
      </c>
      <c r="K42" s="1">
        <v>10</v>
      </c>
      <c r="L42" s="4">
        <v>0.66666666666666663</v>
      </c>
    </row>
    <row r="43" spans="1:12" x14ac:dyDescent="0.15">
      <c r="A43" s="3" t="s">
        <v>12</v>
      </c>
      <c r="B43">
        <v>6661</v>
      </c>
      <c r="C43" t="str">
        <f>VLOOKUP($B43,'[1]DB PV ENI'!$A$4:$H$577,2,FALSE)</f>
        <v>CENTRO</v>
      </c>
      <c r="D43" t="str">
        <f>VLOOKUP($B43,'[1]DB PV ENI'!$A$4:$H$577,3,FALSE)</f>
        <v>LAZIO</v>
      </c>
      <c r="E43" t="str">
        <f>VLOOKUP($B43,'[1]DB PV ENI'!$A$4:$H$577,4,FALSE)</f>
        <v>FROSINONE</v>
      </c>
      <c r="F43" t="str">
        <f>VLOOKUP($B43,'[1]DB PV ENI'!$A$4:$H$577,5,FALSE)</f>
        <v>FROSINONE</v>
      </c>
      <c r="G43" t="str">
        <f>VLOOKUP($B43,'[1]DB PV ENI'!$A$4:$H$577,6,FALSE)</f>
        <v>VIA MARCO TULLIO CICERONE  33/35</v>
      </c>
      <c r="H43">
        <v>27</v>
      </c>
      <c r="I43" s="1">
        <v>12</v>
      </c>
      <c r="J43" s="1">
        <v>15</v>
      </c>
      <c r="K43" s="1">
        <v>10</v>
      </c>
      <c r="L43" s="4">
        <v>0.66666666666666663</v>
      </c>
    </row>
    <row r="44" spans="1:12" x14ac:dyDescent="0.15">
      <c r="A44" s="3" t="s">
        <v>12</v>
      </c>
      <c r="B44">
        <v>209</v>
      </c>
      <c r="C44" t="str">
        <f>VLOOKUP($B44,'[1]DB PV ENI'!$A$4:$H$577,2,FALSE)</f>
        <v>NORD OVEST</v>
      </c>
      <c r="D44" t="str">
        <f>VLOOKUP($B44,'[1]DB PV ENI'!$A$4:$H$577,3,FALSE)</f>
        <v>PIEMONTE</v>
      </c>
      <c r="E44" t="str">
        <f>VLOOKUP($B44,'[1]DB PV ENI'!$A$4:$H$577,4,FALSE)</f>
        <v>CUNEO</v>
      </c>
      <c r="F44" t="str">
        <f>VLOOKUP($B44,'[1]DB PV ENI'!$A$4:$H$577,5,FALSE)</f>
        <v>CUNEO</v>
      </c>
      <c r="G44" t="str">
        <f>VLOOKUP($B44,'[1]DB PV ENI'!$A$4:$H$577,6,FALSE)</f>
        <v>VIA TORINO 135</v>
      </c>
      <c r="H44">
        <v>44</v>
      </c>
      <c r="I44" s="1">
        <v>16</v>
      </c>
      <c r="J44" s="1">
        <v>28</v>
      </c>
      <c r="K44" s="1">
        <v>10</v>
      </c>
      <c r="L44" s="4">
        <v>0.35714285714285715</v>
      </c>
    </row>
    <row r="45" spans="1:12" x14ac:dyDescent="0.15">
      <c r="A45" s="3" t="s">
        <v>12</v>
      </c>
      <c r="B45">
        <v>718</v>
      </c>
      <c r="C45" t="str">
        <f>VLOOKUP($B45,'[1]DB PV ENI'!$A$4:$H$577,2,FALSE)</f>
        <v>NORD OVEST</v>
      </c>
      <c r="D45" t="str">
        <f>VLOOKUP($B45,'[1]DB PV ENI'!$A$4:$H$577,3,FALSE)</f>
        <v>PIEMONTE</v>
      </c>
      <c r="E45" t="str">
        <f>VLOOKUP($B45,'[1]DB PV ENI'!$A$4:$H$577,4,FALSE)</f>
        <v>TORINO</v>
      </c>
      <c r="F45" t="str">
        <f>VLOOKUP($B45,'[1]DB PV ENI'!$A$4:$H$577,5,FALSE)</f>
        <v>CARIGNANO</v>
      </c>
      <c r="G45" t="str">
        <f>VLOOKUP($B45,'[1]DB PV ENI'!$A$4:$H$577,6,FALSE)</f>
        <v>SS20 KM12+230</v>
      </c>
      <c r="H45">
        <v>38</v>
      </c>
      <c r="I45" s="1">
        <v>16</v>
      </c>
      <c r="J45" s="1">
        <v>22</v>
      </c>
      <c r="K45" s="1">
        <v>10</v>
      </c>
      <c r="L45" s="4">
        <v>0.45454545454545453</v>
      </c>
    </row>
    <row r="46" spans="1:12" x14ac:dyDescent="0.15">
      <c r="A46" s="3" t="s">
        <v>12</v>
      </c>
      <c r="B46">
        <v>51958</v>
      </c>
      <c r="C46" t="str">
        <f>VLOOKUP($B46,'[1]DB PV ENI'!$A$4:$H$577,2,FALSE)</f>
        <v>NORD OVEST</v>
      </c>
      <c r="D46" t="str">
        <f>VLOOKUP($B46,'[1]DB PV ENI'!$A$4:$H$577,3,FALSE)</f>
        <v>LOMBARDIA</v>
      </c>
      <c r="E46" t="str">
        <f>VLOOKUP($B46,'[1]DB PV ENI'!$A$4:$H$577,4,FALSE)</f>
        <v>MILANO</v>
      </c>
      <c r="F46" t="str">
        <f>VLOOKUP($B46,'[1]DB PV ENI'!$A$4:$H$577,5,FALSE)</f>
        <v>MELEGNANO</v>
      </c>
      <c r="G46" t="str">
        <f>VLOOKUP($B46,'[1]DB PV ENI'!$A$4:$H$577,6,FALSE)</f>
        <v>VIA EMILIA, 70</v>
      </c>
      <c r="H46">
        <v>40</v>
      </c>
      <c r="I46" s="1">
        <v>16</v>
      </c>
      <c r="J46" s="1">
        <v>24</v>
      </c>
      <c r="K46" s="1">
        <v>10</v>
      </c>
      <c r="L46" s="4">
        <v>0.41666666666666669</v>
      </c>
    </row>
    <row r="47" spans="1:12" x14ac:dyDescent="0.15">
      <c r="A47" s="3" t="s">
        <v>12</v>
      </c>
      <c r="B47">
        <v>9285</v>
      </c>
      <c r="C47" t="str">
        <f>VLOOKUP($B47,'[1]DB PV ENI'!$A$4:$H$577,2,FALSE)</f>
        <v>-</v>
      </c>
      <c r="D47" t="str">
        <f>VLOOKUP($B47,'[1]DB PV ENI'!$A$4:$H$577,3,FALSE)</f>
        <v>-</v>
      </c>
      <c r="E47" t="str">
        <f>VLOOKUP($B47,'[1]DB PV ENI'!$A$4:$H$577,4,FALSE)</f>
        <v>-</v>
      </c>
      <c r="F47" t="str">
        <f>VLOOKUP($B47,'[1]DB PV ENI'!$A$4:$H$577,5,FALSE)</f>
        <v>-</v>
      </c>
      <c r="G47" t="str">
        <f>VLOOKUP($B47,'[1]DB PV ENI'!$A$4:$H$577,6,FALSE)</f>
        <v>-</v>
      </c>
      <c r="H47">
        <v>18</v>
      </c>
      <c r="I47" s="1">
        <v>9</v>
      </c>
      <c r="J47" s="1">
        <v>9</v>
      </c>
      <c r="K47" s="1">
        <v>9</v>
      </c>
      <c r="L47" s="4">
        <v>1</v>
      </c>
    </row>
    <row r="48" spans="1:12" x14ac:dyDescent="0.15">
      <c r="A48" s="3" t="s">
        <v>12</v>
      </c>
      <c r="B48">
        <v>36993</v>
      </c>
      <c r="C48" t="str">
        <f>VLOOKUP($B48,'[1]DB PV ENI'!$A$4:$H$577,2,FALSE)</f>
        <v>CENTRO</v>
      </c>
      <c r="D48" t="str">
        <f>VLOOKUP($B48,'[1]DB PV ENI'!$A$4:$H$577,3,FALSE)</f>
        <v>LAZIO</v>
      </c>
      <c r="E48" t="str">
        <f>VLOOKUP($B48,'[1]DB PV ENI'!$A$4:$H$577,4,FALSE)</f>
        <v>ROMA</v>
      </c>
      <c r="F48" t="str">
        <f>VLOOKUP($B48,'[1]DB PV ENI'!$A$4:$H$577,5,FALSE)</f>
        <v>ROMA</v>
      </c>
      <c r="G48" t="str">
        <f>VLOOKUP($B48,'[1]DB PV ENI'!$A$4:$H$577,6,FALSE)</f>
        <v>VIA DI ACILIA</v>
      </c>
      <c r="H48">
        <v>25</v>
      </c>
      <c r="I48" s="1">
        <v>12</v>
      </c>
      <c r="J48" s="1">
        <v>13</v>
      </c>
      <c r="K48" s="1">
        <v>9</v>
      </c>
      <c r="L48" s="4">
        <v>0.69230769230769229</v>
      </c>
    </row>
    <row r="49" spans="1:12" x14ac:dyDescent="0.15">
      <c r="A49" s="3" t="s">
        <v>12</v>
      </c>
      <c r="B49">
        <v>5915</v>
      </c>
      <c r="C49" t="str">
        <f>VLOOKUP($B49,'[1]DB PV ENI'!$A$4:$H$577,2,FALSE)</f>
        <v>NORD EST</v>
      </c>
      <c r="D49" t="str">
        <f>VLOOKUP($B49,'[1]DB PV ENI'!$A$4:$H$577,3,FALSE)</f>
        <v>EMILIA-ROMAGNA</v>
      </c>
      <c r="E49" t="str">
        <f>VLOOKUP($B49,'[1]DB PV ENI'!$A$4:$H$577,4,FALSE)</f>
        <v>RIMINI</v>
      </c>
      <c r="F49" t="str">
        <f>VLOOKUP($B49,'[1]DB PV ENI'!$A$4:$H$577,5,FALSE)</f>
        <v>RIMINI</v>
      </c>
      <c r="G49" t="str">
        <f>VLOOKUP($B49,'[1]DB PV ENI'!$A$4:$H$577,6,FALSE)</f>
        <v>VIA FLAMINIA 3</v>
      </c>
      <c r="H49">
        <v>21</v>
      </c>
      <c r="I49" s="1">
        <v>10</v>
      </c>
      <c r="J49" s="1">
        <v>11</v>
      </c>
      <c r="K49" s="1">
        <v>9</v>
      </c>
      <c r="L49" s="4">
        <v>0.81818181818181823</v>
      </c>
    </row>
    <row r="50" spans="1:12" x14ac:dyDescent="0.15">
      <c r="A50" s="3" t="s">
        <v>12</v>
      </c>
      <c r="B50">
        <v>6416</v>
      </c>
      <c r="C50" t="str">
        <f>VLOOKUP($B50,'[1]DB PV ENI'!$A$4:$H$577,2,FALSE)</f>
        <v>NORD EST</v>
      </c>
      <c r="D50" t="str">
        <f>VLOOKUP($B50,'[1]DB PV ENI'!$A$4:$H$577,3,FALSE)</f>
        <v>EMILIA-ROMAGNA</v>
      </c>
      <c r="E50" t="str">
        <f>VLOOKUP($B50,'[1]DB PV ENI'!$A$4:$H$577,4,FALSE)</f>
        <v>REGGIO EMILIA</v>
      </c>
      <c r="F50" t="str">
        <f>VLOOKUP($B50,'[1]DB PV ENI'!$A$4:$H$577,5,FALSE)</f>
        <v>REGGIO NELL'EMILIA</v>
      </c>
      <c r="G50" t="str">
        <f>VLOOKUP($B50,'[1]DB PV ENI'!$A$4:$H$577,6,FALSE)</f>
        <v>VIA MARTIRI DI CERVAROLO</v>
      </c>
      <c r="H50">
        <v>29</v>
      </c>
      <c r="I50" s="1">
        <v>12</v>
      </c>
      <c r="J50" s="1">
        <v>17</v>
      </c>
      <c r="K50" s="1">
        <v>9</v>
      </c>
      <c r="L50" s="4">
        <v>0.52941176470588236</v>
      </c>
    </row>
    <row r="51" spans="1:12" x14ac:dyDescent="0.15">
      <c r="A51" s="3" t="s">
        <v>12</v>
      </c>
      <c r="B51">
        <v>7219</v>
      </c>
      <c r="C51" t="str">
        <f>VLOOKUP($B51,'[1]DB PV ENI'!$A$4:$H$577,2,FALSE)</f>
        <v>CENTRO</v>
      </c>
      <c r="D51" t="str">
        <f>VLOOKUP($B51,'[1]DB PV ENI'!$A$4:$H$577,3,FALSE)</f>
        <v>LAZIO</v>
      </c>
      <c r="E51" t="str">
        <f>VLOOKUP($B51,'[1]DB PV ENI'!$A$4:$H$577,4,FALSE)</f>
        <v>ROMA</v>
      </c>
      <c r="F51" t="str">
        <f>VLOOKUP($B51,'[1]DB PV ENI'!$A$4:$H$577,5,FALSE)</f>
        <v>GUIDONIA MONTECELIO</v>
      </c>
      <c r="G51" t="str">
        <f>VLOOKUP($B51,'[1]DB PV ENI'!$A$4:$H$577,6,FALSE)</f>
        <v>VIA TIBURTINA KM 19,800 0145</v>
      </c>
      <c r="H51">
        <v>44</v>
      </c>
      <c r="I51" s="1">
        <v>22</v>
      </c>
      <c r="J51" s="1">
        <v>22</v>
      </c>
      <c r="K51" s="1">
        <v>8</v>
      </c>
      <c r="L51" s="4">
        <v>0.36363636363636365</v>
      </c>
    </row>
    <row r="52" spans="1:12" x14ac:dyDescent="0.15">
      <c r="A52" s="3" t="s">
        <v>12</v>
      </c>
      <c r="B52">
        <v>34802</v>
      </c>
      <c r="C52" t="str">
        <f>VLOOKUP($B52,'[1]DB PV ENI'!$A$4:$H$577,2,FALSE)</f>
        <v>CENTRO</v>
      </c>
      <c r="D52" t="str">
        <f>VLOOKUP($B52,'[1]DB PV ENI'!$A$4:$H$577,3,FALSE)</f>
        <v>TOSCANA</v>
      </c>
      <c r="E52" t="str">
        <f>VLOOKUP($B52,'[1]DB PV ENI'!$A$4:$H$577,4,FALSE)</f>
        <v>PRATO</v>
      </c>
      <c r="F52" t="str">
        <f>VLOOKUP($B52,'[1]DB PV ENI'!$A$4:$H$577,5,FALSE)</f>
        <v>PRATO</v>
      </c>
      <c r="G52" t="str">
        <f>VLOOKUP($B52,'[1]DB PV ENI'!$A$4:$H$577,6,FALSE)</f>
        <v>XVI APRILE</v>
      </c>
      <c r="H52">
        <v>18</v>
      </c>
      <c r="I52" s="1">
        <v>10</v>
      </c>
      <c r="J52" s="1">
        <v>8</v>
      </c>
      <c r="K52" s="1">
        <v>8</v>
      </c>
      <c r="L52" s="4">
        <v>1</v>
      </c>
    </row>
    <row r="53" spans="1:12" x14ac:dyDescent="0.15">
      <c r="A53" s="3" t="s">
        <v>12</v>
      </c>
      <c r="B53">
        <v>5993</v>
      </c>
      <c r="C53" t="str">
        <f>VLOOKUP($B53,'[1]DB PV ENI'!$A$4:$H$577,2,FALSE)</f>
        <v>NORD EST</v>
      </c>
      <c r="D53" t="str">
        <f>VLOOKUP($B53,'[1]DB PV ENI'!$A$4:$H$577,3,FALSE)</f>
        <v>EMILIA-ROMAGNA</v>
      </c>
      <c r="E53" t="str">
        <f>VLOOKUP($B53,'[1]DB PV ENI'!$A$4:$H$577,4,FALSE)</f>
        <v>RIMINI</v>
      </c>
      <c r="F53" t="str">
        <f>VLOOKUP($B53,'[1]DB PV ENI'!$A$4:$H$577,5,FALSE)</f>
        <v>SANTARCANGELO DI ROMAGNA</v>
      </c>
      <c r="G53" t="str">
        <f>VLOOKUP($B53,'[1]DB PV ENI'!$A$4:$H$577,6,FALSE)</f>
        <v>VIA MARECCHIESE,1600 LOC.S.ERMETE</v>
      </c>
      <c r="H53">
        <v>19</v>
      </c>
      <c r="I53" s="1">
        <v>8</v>
      </c>
      <c r="J53" s="1">
        <v>11</v>
      </c>
      <c r="K53" s="1">
        <v>8</v>
      </c>
      <c r="L53" s="4">
        <v>0.72727272727272729</v>
      </c>
    </row>
    <row r="54" spans="1:12" x14ac:dyDescent="0.15">
      <c r="A54" s="3" t="s">
        <v>12</v>
      </c>
      <c r="B54">
        <v>13618</v>
      </c>
      <c r="C54" t="str">
        <f>VLOOKUP($B54,'[1]DB PV ENI'!$A$4:$H$577,2,FALSE)</f>
        <v>NORD EST</v>
      </c>
      <c r="D54" t="str">
        <f>VLOOKUP($B54,'[1]DB PV ENI'!$A$4:$H$577,3,FALSE)</f>
        <v>VENETO</v>
      </c>
      <c r="E54" t="str">
        <f>VLOOKUP($B54,'[1]DB PV ENI'!$A$4:$H$577,4,FALSE)</f>
        <v>TREVISO</v>
      </c>
      <c r="F54" t="str">
        <f>VLOOKUP($B54,'[1]DB PV ENI'!$A$4:$H$577,5,FALSE)</f>
        <v>MOGLIANO VENETO</v>
      </c>
      <c r="G54" t="str">
        <f>VLOOKUP($B54,'[1]DB PV ENI'!$A$4:$H$577,6,FALSE)</f>
        <v>VIA CASALE SUL SILE 14</v>
      </c>
      <c r="H54">
        <v>28</v>
      </c>
      <c r="I54" s="1">
        <v>11</v>
      </c>
      <c r="J54" s="1">
        <v>17</v>
      </c>
      <c r="K54" s="1">
        <v>8</v>
      </c>
      <c r="L54" s="4">
        <v>0.47058823529411764</v>
      </c>
    </row>
    <row r="55" spans="1:12" x14ac:dyDescent="0.15">
      <c r="A55" s="3" t="s">
        <v>12</v>
      </c>
      <c r="B55">
        <v>2838</v>
      </c>
      <c r="C55" t="str">
        <f>VLOOKUP($B55,'[1]DB PV ENI'!$A$4:$H$577,2,FALSE)</f>
        <v>NORD OVEST</v>
      </c>
      <c r="D55" t="str">
        <f>VLOOKUP($B55,'[1]DB PV ENI'!$A$4:$H$577,3,FALSE)</f>
        <v>LOMBARDIA</v>
      </c>
      <c r="E55" t="str">
        <f>VLOOKUP($B55,'[1]DB PV ENI'!$A$4:$H$577,4,FALSE)</f>
        <v>VARESE</v>
      </c>
      <c r="F55" t="str">
        <f>VLOOKUP($B55,'[1]DB PV ENI'!$A$4:$H$577,5,FALSE)</f>
        <v>VARESE</v>
      </c>
      <c r="G55" t="str">
        <f>VLOOKUP($B55,'[1]DB PV ENI'!$A$4:$H$577,6,FALSE)</f>
        <v>VIA S.VITO SILVESTRO</v>
      </c>
      <c r="H55">
        <v>57</v>
      </c>
      <c r="I55" s="1">
        <v>17</v>
      </c>
      <c r="J55" s="1">
        <v>40</v>
      </c>
      <c r="K55" s="1">
        <v>8</v>
      </c>
      <c r="L55" s="4">
        <v>0.2</v>
      </c>
    </row>
    <row r="56" spans="1:12" x14ac:dyDescent="0.15">
      <c r="A56" s="3" t="s">
        <v>12</v>
      </c>
      <c r="B56">
        <v>9662</v>
      </c>
      <c r="C56" t="str">
        <f>VLOOKUP($B56,'[1]DB PV ENI'!$A$4:$H$577,2,FALSE)</f>
        <v>SUD</v>
      </c>
      <c r="D56" t="str">
        <f>VLOOKUP($B56,'[1]DB PV ENI'!$A$4:$H$577,3,FALSE)</f>
        <v>SICILIA</v>
      </c>
      <c r="E56" t="str">
        <f>VLOOKUP($B56,'[1]DB PV ENI'!$A$4:$H$577,4,FALSE)</f>
        <v>MESSINA</v>
      </c>
      <c r="F56" t="str">
        <f>VLOOKUP($B56,'[1]DB PV ENI'!$A$4:$H$577,5,FALSE)</f>
        <v>MESSINA</v>
      </c>
      <c r="G56" t="str">
        <f>VLOOKUP($B56,'[1]DB PV ENI'!$A$4:$H$577,6,FALSE)</f>
        <v>SS.114 KM. 15+417</v>
      </c>
      <c r="H56">
        <v>18</v>
      </c>
      <c r="I56" s="1">
        <v>9</v>
      </c>
      <c r="J56" s="1">
        <v>9</v>
      </c>
      <c r="K56" s="1">
        <v>8</v>
      </c>
      <c r="L56" s="4">
        <v>0.88888888888888884</v>
      </c>
    </row>
    <row r="57" spans="1:12" x14ac:dyDescent="0.15">
      <c r="A57" s="3" t="s">
        <v>12</v>
      </c>
      <c r="B57">
        <v>19653</v>
      </c>
      <c r="C57" t="str">
        <f>VLOOKUP($B57,'[1]DB PV ENI'!$A$4:$H$577,2,FALSE)</f>
        <v>SUD</v>
      </c>
      <c r="D57" t="str">
        <f>VLOOKUP($B57,'[1]DB PV ENI'!$A$4:$H$577,3,FALSE)</f>
        <v>SICILIA</v>
      </c>
      <c r="E57" t="str">
        <f>VLOOKUP($B57,'[1]DB PV ENI'!$A$4:$H$577,4,FALSE)</f>
        <v>MESSINA</v>
      </c>
      <c r="F57" t="str">
        <f>VLOOKUP($B57,'[1]DB PV ENI'!$A$4:$H$577,5,FALSE)</f>
        <v>MILAZZO</v>
      </c>
      <c r="G57" t="str">
        <f>VLOOKUP($B57,'[1]DB PV ENI'!$A$4:$H$577,6,FALSE)</f>
        <v>VIALE A. GRAMSCI 156/158</v>
      </c>
      <c r="H57">
        <v>33</v>
      </c>
      <c r="I57" s="1">
        <v>14</v>
      </c>
      <c r="J57" s="1">
        <v>19</v>
      </c>
      <c r="K57" s="1">
        <v>8</v>
      </c>
      <c r="L57" s="4">
        <v>0.42105263157894735</v>
      </c>
    </row>
    <row r="58" spans="1:12" x14ac:dyDescent="0.15">
      <c r="A58" s="3" t="s">
        <v>12</v>
      </c>
      <c r="B58">
        <v>54668</v>
      </c>
      <c r="C58" t="str">
        <f>VLOOKUP($B58,'[1]DB PV ENI'!$A$4:$H$577,2,FALSE)</f>
        <v>SUD</v>
      </c>
      <c r="D58" t="str">
        <f>VLOOKUP($B58,'[1]DB PV ENI'!$A$4:$H$577,3,FALSE)</f>
        <v>CAMPANIA</v>
      </c>
      <c r="E58" t="str">
        <f>VLOOKUP($B58,'[1]DB PV ENI'!$A$4:$H$577,4,FALSE)</f>
        <v>NAPOLI</v>
      </c>
      <c r="F58" t="str">
        <f>VLOOKUP($B58,'[1]DB PV ENI'!$A$4:$H$577,5,FALSE)</f>
        <v>SAN GIORGIO A CREMANO</v>
      </c>
      <c r="G58" t="str">
        <f>VLOOKUP($B58,'[1]DB PV ENI'!$A$4:$H$577,6,FALSE)</f>
        <v>VIA GIANTURCO</v>
      </c>
      <c r="H58">
        <v>29</v>
      </c>
      <c r="I58" s="1">
        <v>14</v>
      </c>
      <c r="J58" s="1">
        <v>15</v>
      </c>
      <c r="K58" s="1">
        <v>8</v>
      </c>
      <c r="L58" s="4">
        <v>0.53333333333333333</v>
      </c>
    </row>
    <row r="59" spans="1:12" x14ac:dyDescent="0.15">
      <c r="A59" s="3" t="s">
        <v>12</v>
      </c>
      <c r="B59">
        <v>55456</v>
      </c>
      <c r="C59" t="str">
        <f>VLOOKUP($B59,'[1]DB PV ENI'!$A$4:$H$577,2,FALSE)</f>
        <v>SUD</v>
      </c>
      <c r="D59" t="str">
        <f>VLOOKUP($B59,'[1]DB PV ENI'!$A$4:$H$577,3,FALSE)</f>
        <v>CAMPANIA</v>
      </c>
      <c r="E59" t="str">
        <f>VLOOKUP($B59,'[1]DB PV ENI'!$A$4:$H$577,4,FALSE)</f>
        <v>NAPOLI</v>
      </c>
      <c r="F59" t="str">
        <f>VLOOKUP($B59,'[1]DB PV ENI'!$A$4:$H$577,5,FALSE)</f>
        <v>NAPOLI</v>
      </c>
      <c r="G59" t="str">
        <f>VLOOKUP($B59,'[1]DB PV ENI'!$A$4:$H$577,6,FALSE)</f>
        <v>MARIANO SEMMOLA 25</v>
      </c>
      <c r="H59">
        <v>30</v>
      </c>
      <c r="I59" s="1">
        <v>13</v>
      </c>
      <c r="J59" s="1">
        <v>17</v>
      </c>
      <c r="K59" s="1">
        <v>8</v>
      </c>
      <c r="L59" s="4">
        <v>0.47058823529411764</v>
      </c>
    </row>
    <row r="60" spans="1:12" x14ac:dyDescent="0.15">
      <c r="A60" s="3" t="s">
        <v>12</v>
      </c>
      <c r="B60">
        <v>55607</v>
      </c>
      <c r="C60" t="str">
        <f>VLOOKUP($B60,'[1]DB PV ENI'!$A$4:$H$577,2,FALSE)</f>
        <v>SUD</v>
      </c>
      <c r="D60" t="str">
        <f>VLOOKUP($B60,'[1]DB PV ENI'!$A$4:$H$577,3,FALSE)</f>
        <v>CAMPANIA</v>
      </c>
      <c r="E60" t="str">
        <f>VLOOKUP($B60,'[1]DB PV ENI'!$A$4:$H$577,4,FALSE)</f>
        <v>NAPOLI</v>
      </c>
      <c r="F60" t="str">
        <f>VLOOKUP($B60,'[1]DB PV ENI'!$A$4:$H$577,5,FALSE)</f>
        <v>MARIGLIANO</v>
      </c>
      <c r="G60" t="str">
        <f>VLOOKUP($B60,'[1]DB PV ENI'!$A$4:$H$577,6,FALSE)</f>
        <v>VIA 11 SETTEMBRE</v>
      </c>
      <c r="H60">
        <v>21</v>
      </c>
      <c r="I60" s="1">
        <v>11</v>
      </c>
      <c r="J60" s="1">
        <v>10</v>
      </c>
      <c r="K60" s="1">
        <v>8</v>
      </c>
      <c r="L60" s="4">
        <v>0.8</v>
      </c>
    </row>
    <row r="61" spans="1:12" x14ac:dyDescent="0.15">
      <c r="A61" s="3" t="s">
        <v>12</v>
      </c>
      <c r="B61">
        <v>4634</v>
      </c>
      <c r="C61" t="str">
        <f>VLOOKUP($B61,'[1]DB PV ENI'!$A$4:$H$577,2,FALSE)</f>
        <v>CENTRO</v>
      </c>
      <c r="D61" t="str">
        <f>VLOOKUP($B61,'[1]DB PV ENI'!$A$4:$H$577,3,FALSE)</f>
        <v>TOSCANA</v>
      </c>
      <c r="E61" t="str">
        <f>VLOOKUP($B61,'[1]DB PV ENI'!$A$4:$H$577,4,FALSE)</f>
        <v>AREZZO</v>
      </c>
      <c r="F61" t="str">
        <f>VLOOKUP($B61,'[1]DB PV ENI'!$A$4:$H$577,5,FALSE)</f>
        <v>SAN GIOVANNI VALDARNO</v>
      </c>
      <c r="G61" t="str">
        <f>VLOOKUP($B61,'[1]DB PV ENI'!$A$4:$H$577,6,FALSE)</f>
        <v>VIA UBALDINO PERUZZI</v>
      </c>
      <c r="H61">
        <v>23</v>
      </c>
      <c r="I61" s="1">
        <v>11</v>
      </c>
      <c r="J61" s="1">
        <v>12</v>
      </c>
      <c r="K61" s="1">
        <v>7</v>
      </c>
      <c r="L61" s="4">
        <v>0.58333333333333337</v>
      </c>
    </row>
    <row r="62" spans="1:12" x14ac:dyDescent="0.15">
      <c r="A62" s="3" t="s">
        <v>12</v>
      </c>
      <c r="B62">
        <v>6669</v>
      </c>
      <c r="C62" t="str">
        <f>VLOOKUP($B62,'[1]DB PV ENI'!$A$4:$H$577,2,FALSE)</f>
        <v>CENTRO</v>
      </c>
      <c r="D62" t="str">
        <f>VLOOKUP($B62,'[1]DB PV ENI'!$A$4:$H$577,3,FALSE)</f>
        <v>LAZIO</v>
      </c>
      <c r="E62" t="str">
        <f>VLOOKUP($B62,'[1]DB PV ENI'!$A$4:$H$577,4,FALSE)</f>
        <v>FROSINONE</v>
      </c>
      <c r="F62" t="str">
        <f>VLOOKUP($B62,'[1]DB PV ENI'!$A$4:$H$577,5,FALSE)</f>
        <v>ANAGNI</v>
      </c>
      <c r="G62" t="str">
        <f>VLOOKUP($B62,'[1]DB PV ENI'!$A$4:$H$577,6,FALSE)</f>
        <v>RACCORDO AUTOSOLE</v>
      </c>
      <c r="H62">
        <v>15</v>
      </c>
      <c r="I62" s="1">
        <v>7</v>
      </c>
      <c r="J62" s="1">
        <v>8</v>
      </c>
      <c r="K62" s="1">
        <v>7</v>
      </c>
      <c r="L62" s="4">
        <v>0.875</v>
      </c>
    </row>
    <row r="63" spans="1:12" x14ac:dyDescent="0.15">
      <c r="A63" s="3" t="s">
        <v>12</v>
      </c>
      <c r="B63">
        <v>7224</v>
      </c>
      <c r="C63" t="str">
        <f>VLOOKUP($B63,'[1]DB PV ENI'!$A$4:$H$577,2,FALSE)</f>
        <v>CENTRO</v>
      </c>
      <c r="D63" t="str">
        <f>VLOOKUP($B63,'[1]DB PV ENI'!$A$4:$H$577,3,FALSE)</f>
        <v>LAZIO</v>
      </c>
      <c r="E63" t="str">
        <f>VLOOKUP($B63,'[1]DB PV ENI'!$A$4:$H$577,4,FALSE)</f>
        <v>ROMA</v>
      </c>
      <c r="F63" t="str">
        <f>VLOOKUP($B63,'[1]DB PV ENI'!$A$4:$H$577,5,FALSE)</f>
        <v>ROMA</v>
      </c>
      <c r="G63" t="str">
        <f>VLOOKUP($B63,'[1]DB PV ENI'!$A$4:$H$577,6,FALSE)</f>
        <v>CIRCONVALLAZIONE GIANICOLENSE 340</v>
      </c>
      <c r="H63">
        <v>24</v>
      </c>
      <c r="I63" s="1">
        <v>15</v>
      </c>
      <c r="J63" s="1">
        <v>9</v>
      </c>
      <c r="K63" s="1">
        <v>7</v>
      </c>
      <c r="L63" s="4">
        <v>0.77777777777777779</v>
      </c>
    </row>
    <row r="64" spans="1:12" x14ac:dyDescent="0.15">
      <c r="A64" s="3" t="s">
        <v>12</v>
      </c>
      <c r="B64">
        <v>13241</v>
      </c>
      <c r="C64" t="str">
        <f>VLOOKUP($B64,'[1]DB PV ENI'!$A$4:$H$577,2,FALSE)</f>
        <v>NORD EST</v>
      </c>
      <c r="D64" t="str">
        <f>VLOOKUP($B64,'[1]DB PV ENI'!$A$4:$H$577,3,FALSE)</f>
        <v>VENETO</v>
      </c>
      <c r="E64" t="str">
        <f>VLOOKUP($B64,'[1]DB PV ENI'!$A$4:$H$577,4,FALSE)</f>
        <v>PADOVA</v>
      </c>
      <c r="F64" t="str">
        <f>VLOOKUP($B64,'[1]DB PV ENI'!$A$4:$H$577,5,FALSE)</f>
        <v>TOMBOLO</v>
      </c>
      <c r="G64" t="str">
        <f>VLOOKUP($B64,'[1]DB PV ENI'!$A$4:$H$577,6,FALSE)</f>
        <v>VIA SOMMAVILLA 109</v>
      </c>
      <c r="H64">
        <v>25</v>
      </c>
      <c r="I64" s="1">
        <v>12</v>
      </c>
      <c r="J64" s="1">
        <v>13</v>
      </c>
      <c r="K64" s="1">
        <v>7</v>
      </c>
      <c r="L64" s="4">
        <v>0.53846153846153844</v>
      </c>
    </row>
    <row r="65" spans="1:12" x14ac:dyDescent="0.15">
      <c r="A65" s="3" t="s">
        <v>12</v>
      </c>
      <c r="B65">
        <v>16435</v>
      </c>
      <c r="C65" t="str">
        <f>VLOOKUP($B65,'[1]DB PV ENI'!$A$4:$H$577,2,FALSE)</f>
        <v>NORD EST</v>
      </c>
      <c r="D65" t="str">
        <f>VLOOKUP($B65,'[1]DB PV ENI'!$A$4:$H$577,3,FALSE)</f>
        <v>EMILIA-ROMAGNA</v>
      </c>
      <c r="E65" t="str">
        <f>VLOOKUP($B65,'[1]DB PV ENI'!$A$4:$H$577,4,FALSE)</f>
        <v>REGGIO EMILIA</v>
      </c>
      <c r="F65" t="str">
        <f>VLOOKUP($B65,'[1]DB PV ENI'!$A$4:$H$577,5,FALSE)</f>
        <v>CORREGGIO</v>
      </c>
      <c r="G65" t="str">
        <f>VLOOKUP($B65,'[1]DB PV ENI'!$A$4:$H$577,6,FALSE)</f>
        <v>SS PER REGGIO EMILIA, 36/A</v>
      </c>
      <c r="H65">
        <v>14</v>
      </c>
      <c r="I65" s="1">
        <v>7</v>
      </c>
      <c r="J65" s="1">
        <v>7</v>
      </c>
      <c r="K65" s="1">
        <v>7</v>
      </c>
      <c r="L65" s="4">
        <v>1</v>
      </c>
    </row>
    <row r="66" spans="1:12" x14ac:dyDescent="0.15">
      <c r="A66" s="3" t="s">
        <v>12</v>
      </c>
      <c r="B66">
        <v>53815</v>
      </c>
      <c r="C66" t="str">
        <f>VLOOKUP($B66,'[1]DB PV ENI'!$A$4:$H$577,2,FALSE)</f>
        <v>NORD EST</v>
      </c>
      <c r="D66" t="str">
        <f>VLOOKUP($B66,'[1]DB PV ENI'!$A$4:$H$577,3,FALSE)</f>
        <v>EMILIA-ROMAGNA</v>
      </c>
      <c r="E66" t="str">
        <f>VLOOKUP($B66,'[1]DB PV ENI'!$A$4:$H$577,4,FALSE)</f>
        <v>RIMINI</v>
      </c>
      <c r="F66" t="str">
        <f>VLOOKUP($B66,'[1]DB PV ENI'!$A$4:$H$577,5,FALSE)</f>
        <v>RIMINI</v>
      </c>
      <c r="G66" t="str">
        <f>VLOOKUP($B66,'[1]DB PV ENI'!$A$4:$H$577,6,FALSE)</f>
        <v>VIA CONSOLARE SAN MARINO 7</v>
      </c>
      <c r="H66">
        <v>43</v>
      </c>
      <c r="I66" s="1">
        <v>14</v>
      </c>
      <c r="J66" s="1">
        <v>29</v>
      </c>
      <c r="K66" s="1">
        <v>7</v>
      </c>
      <c r="L66" s="4">
        <v>0.2413793103448276</v>
      </c>
    </row>
    <row r="67" spans="1:12" x14ac:dyDescent="0.15">
      <c r="A67" s="3" t="s">
        <v>12</v>
      </c>
      <c r="B67">
        <v>116</v>
      </c>
      <c r="C67" t="str">
        <f>VLOOKUP($B67,'[1]DB PV ENI'!$A$4:$H$577,2,FALSE)</f>
        <v>NORD OVEST</v>
      </c>
      <c r="D67" t="str">
        <f>VLOOKUP($B67,'[1]DB PV ENI'!$A$4:$H$577,3,FALSE)</f>
        <v>PIEMONTE</v>
      </c>
      <c r="E67" t="str">
        <f>VLOOKUP($B67,'[1]DB PV ENI'!$A$4:$H$577,4,FALSE)</f>
        <v>VERCELLI</v>
      </c>
      <c r="F67" t="str">
        <f>VLOOKUP($B67,'[1]DB PV ENI'!$A$4:$H$577,5,FALSE)</f>
        <v>VARALLO</v>
      </c>
      <c r="G67" t="str">
        <f>VLOOKUP($B67,'[1]DB PV ENI'!$A$4:$H$577,6,FALSE)</f>
        <v>VIA M. T. ROSSI  17/3</v>
      </c>
      <c r="H67">
        <v>14</v>
      </c>
      <c r="I67" s="1">
        <v>7</v>
      </c>
      <c r="J67" s="1">
        <v>7</v>
      </c>
      <c r="K67" s="1">
        <v>7</v>
      </c>
      <c r="L67" s="4">
        <v>1</v>
      </c>
    </row>
    <row r="68" spans="1:12" x14ac:dyDescent="0.15">
      <c r="A68" s="3" t="s">
        <v>12</v>
      </c>
      <c r="B68">
        <v>1507</v>
      </c>
      <c r="C68" t="str">
        <f>VLOOKUP($B68,'[1]DB PV ENI'!$A$4:$H$577,2,FALSE)</f>
        <v>NORD OVEST</v>
      </c>
      <c r="D68" t="str">
        <f>VLOOKUP($B68,'[1]DB PV ENI'!$A$4:$H$577,3,FALSE)</f>
        <v>LOMBARDIA</v>
      </c>
      <c r="E68" t="str">
        <f>VLOOKUP($B68,'[1]DB PV ENI'!$A$4:$H$577,4,FALSE)</f>
        <v>BERGAMO</v>
      </c>
      <c r="F68" t="str">
        <f>VLOOKUP($B68,'[1]DB PV ENI'!$A$4:$H$577,5,FALSE)</f>
        <v>BERGAMO</v>
      </c>
      <c r="G68" t="str">
        <f>VLOOKUP($B68,'[1]DB PV ENI'!$A$4:$H$577,6,FALSE)</f>
        <v>VIA BROSETA</v>
      </c>
      <c r="H68">
        <v>64</v>
      </c>
      <c r="I68" s="1">
        <v>24</v>
      </c>
      <c r="J68" s="1">
        <v>40</v>
      </c>
      <c r="K68" s="1">
        <v>7</v>
      </c>
      <c r="L68" s="4">
        <v>0.17499999999999999</v>
      </c>
    </row>
    <row r="69" spans="1:12" x14ac:dyDescent="0.15">
      <c r="A69" s="3" t="s">
        <v>12</v>
      </c>
      <c r="B69">
        <v>1805</v>
      </c>
      <c r="C69" t="str">
        <f>VLOOKUP($B69,'[1]DB PV ENI'!$A$4:$H$577,2,FALSE)</f>
        <v>NORD OVEST</v>
      </c>
      <c r="D69" t="str">
        <f>VLOOKUP($B69,'[1]DB PV ENI'!$A$4:$H$577,3,FALSE)</f>
        <v>LOMBARDIA</v>
      </c>
      <c r="E69" t="str">
        <f>VLOOKUP($B69,'[1]DB PV ENI'!$A$4:$H$577,4,FALSE)</f>
        <v>COMO</v>
      </c>
      <c r="F69" t="str">
        <f>VLOOKUP($B69,'[1]DB PV ENI'!$A$4:$H$577,5,FALSE)</f>
        <v>APPIANO GENTILE</v>
      </c>
      <c r="G69" t="str">
        <f>VLOOKUP($B69,'[1]DB PV ENI'!$A$4:$H$577,6,FALSE)</f>
        <v>STRADA PROV.LE N.23</v>
      </c>
      <c r="H69">
        <v>62</v>
      </c>
      <c r="I69" s="1">
        <v>22</v>
      </c>
      <c r="J69" s="1">
        <v>40</v>
      </c>
      <c r="K69" s="1">
        <v>7</v>
      </c>
      <c r="L69" s="4">
        <v>0.17499999999999999</v>
      </c>
    </row>
    <row r="70" spans="1:12" x14ac:dyDescent="0.15">
      <c r="A70" s="3" t="s">
        <v>12</v>
      </c>
      <c r="B70">
        <v>1827</v>
      </c>
      <c r="C70" t="str">
        <f>VLOOKUP($B70,'[1]DB PV ENI'!$A$4:$H$577,2,FALSE)</f>
        <v>NORD OVEST</v>
      </c>
      <c r="D70" t="str">
        <f>VLOOKUP($B70,'[1]DB PV ENI'!$A$4:$H$577,3,FALSE)</f>
        <v>LOMBARDIA</v>
      </c>
      <c r="E70" t="str">
        <f>VLOOKUP($B70,'[1]DB PV ENI'!$A$4:$H$577,4,FALSE)</f>
        <v>COMO</v>
      </c>
      <c r="F70" t="str">
        <f>VLOOKUP($B70,'[1]DB PV ENI'!$A$4:$H$577,5,FALSE)</f>
        <v>ERBA</v>
      </c>
      <c r="G70" t="str">
        <f>VLOOKUP($B70,'[1]DB PV ENI'!$A$4:$H$577,6,FALSE)</f>
        <v>VIA MILANO 10</v>
      </c>
      <c r="H70">
        <v>44</v>
      </c>
      <c r="I70" s="1">
        <v>14</v>
      </c>
      <c r="J70" s="1">
        <v>30</v>
      </c>
      <c r="K70" s="1">
        <v>7</v>
      </c>
      <c r="L70" s="4">
        <v>0.23333333333333334</v>
      </c>
    </row>
    <row r="71" spans="1:12" x14ac:dyDescent="0.15">
      <c r="A71" s="3" t="s">
        <v>12</v>
      </c>
      <c r="B71">
        <v>2556</v>
      </c>
      <c r="C71" t="str">
        <f>VLOOKUP($B71,'[1]DB PV ENI'!$A$4:$H$577,2,FALSE)</f>
        <v>NORD OVEST</v>
      </c>
      <c r="D71" t="str">
        <f>VLOOKUP($B71,'[1]DB PV ENI'!$A$4:$H$577,3,FALSE)</f>
        <v>LOMBARDIA</v>
      </c>
      <c r="E71" t="str">
        <f>VLOOKUP($B71,'[1]DB PV ENI'!$A$4:$H$577,4,FALSE)</f>
        <v>PAVIA</v>
      </c>
      <c r="F71" t="str">
        <f>VLOOKUP($B71,'[1]DB PV ENI'!$A$4:$H$577,5,FALSE)</f>
        <v>BRONI</v>
      </c>
      <c r="G71" t="str">
        <f>VLOOKUP($B71,'[1]DB PV ENI'!$A$4:$H$577,6,FALSE)</f>
        <v>SS 10 KM 154+108</v>
      </c>
      <c r="H71">
        <v>20</v>
      </c>
      <c r="I71" s="1">
        <v>11</v>
      </c>
      <c r="J71" s="1">
        <v>9</v>
      </c>
      <c r="K71" s="1">
        <v>7</v>
      </c>
      <c r="L71" s="4">
        <v>0.77777777777777779</v>
      </c>
    </row>
    <row r="72" spans="1:12" x14ac:dyDescent="0.15">
      <c r="A72" s="3" t="s">
        <v>12</v>
      </c>
      <c r="B72">
        <v>54566</v>
      </c>
      <c r="C72" t="str">
        <f>VLOOKUP($B72,'[1]DB PV ENI'!$A$4:$H$577,2,FALSE)</f>
        <v>NORD OVEST</v>
      </c>
      <c r="D72" t="str">
        <f>VLOOKUP($B72,'[1]DB PV ENI'!$A$4:$H$577,3,FALSE)</f>
        <v>PIEMONTE</v>
      </c>
      <c r="E72" t="str">
        <f>VLOOKUP($B72,'[1]DB PV ENI'!$A$4:$H$577,4,FALSE)</f>
        <v>TORINO</v>
      </c>
      <c r="F72" t="str">
        <f>VLOOKUP($B72,'[1]DB PV ENI'!$A$4:$H$577,5,FALSE)</f>
        <v>RIVOLI</v>
      </c>
      <c r="G72" t="str">
        <f>VLOOKUP($B72,'[1]DB PV ENI'!$A$4:$H$577,6,FALSE)</f>
        <v>C.SO PRIMO LEVI - S.P.N.7 KM.8+260 160/A</v>
      </c>
      <c r="H72">
        <v>26</v>
      </c>
      <c r="I72" s="1">
        <v>11</v>
      </c>
      <c r="J72" s="1">
        <v>15</v>
      </c>
      <c r="K72" s="1">
        <v>7</v>
      </c>
      <c r="L72" s="4">
        <v>0.46666666666666667</v>
      </c>
    </row>
    <row r="73" spans="1:12" x14ac:dyDescent="0.15">
      <c r="A73" s="3" t="s">
        <v>12</v>
      </c>
      <c r="B73">
        <v>6556</v>
      </c>
      <c r="C73" t="str">
        <f>VLOOKUP($B73,'[1]DB PV ENI'!$A$4:$H$577,2,FALSE)</f>
        <v>CENTRO</v>
      </c>
      <c r="D73" t="str">
        <f>VLOOKUP($B73,'[1]DB PV ENI'!$A$4:$H$577,3,FALSE)</f>
        <v>ABRUZZO</v>
      </c>
      <c r="E73" t="str">
        <f>VLOOKUP($B73,'[1]DB PV ENI'!$A$4:$H$577,4,FALSE)</f>
        <v>L'AQUILA</v>
      </c>
      <c r="F73" t="str">
        <f>VLOOKUP($B73,'[1]DB PV ENI'!$A$4:$H$577,5,FALSE)</f>
        <v>L'AQUILA</v>
      </c>
      <c r="G73" t="str">
        <f>VLOOKUP($B73,'[1]DB PV ENI'!$A$4:$H$577,6,FALSE)</f>
        <v>VIALE DELLA CROCE ROSSA 42/D</v>
      </c>
      <c r="H73">
        <v>21</v>
      </c>
      <c r="I73" s="1">
        <v>8</v>
      </c>
      <c r="J73" s="1">
        <v>13</v>
      </c>
      <c r="K73" s="1">
        <v>6</v>
      </c>
      <c r="L73" s="4">
        <v>0.46153846153846156</v>
      </c>
    </row>
    <row r="74" spans="1:12" x14ac:dyDescent="0.15">
      <c r="A74" s="3" t="s">
        <v>12</v>
      </c>
      <c r="B74">
        <v>36953</v>
      </c>
      <c r="C74" t="str">
        <f>VLOOKUP($B74,'[1]DB PV ENI'!$A$4:$H$577,2,FALSE)</f>
        <v>CENTRO</v>
      </c>
      <c r="D74" t="str">
        <f>VLOOKUP($B74,'[1]DB PV ENI'!$A$4:$H$577,3,FALSE)</f>
        <v>LAZIO</v>
      </c>
      <c r="E74" t="str">
        <f>VLOOKUP($B74,'[1]DB PV ENI'!$A$4:$H$577,4,FALSE)</f>
        <v>ROMA</v>
      </c>
      <c r="F74" t="str">
        <f>VLOOKUP($B74,'[1]DB PV ENI'!$A$4:$H$577,5,FALSE)</f>
        <v>ROMA</v>
      </c>
      <c r="G74" t="str">
        <f>VLOOKUP($B74,'[1]DB PV ENI'!$A$4:$H$577,6,FALSE)</f>
        <v>VIA ELSA DE GIORGI</v>
      </c>
      <c r="H74">
        <v>15</v>
      </c>
      <c r="I74" s="1">
        <v>8</v>
      </c>
      <c r="J74" s="1">
        <v>7</v>
      </c>
      <c r="K74" s="1">
        <v>6</v>
      </c>
      <c r="L74" s="4">
        <v>0.8571428571428571</v>
      </c>
    </row>
    <row r="75" spans="1:12" x14ac:dyDescent="0.15">
      <c r="A75" s="3" t="s">
        <v>12</v>
      </c>
      <c r="B75">
        <v>54066</v>
      </c>
      <c r="C75" t="str">
        <f>VLOOKUP($B75,'[1]DB PV ENI'!$A$4:$H$577,2,FALSE)</f>
        <v>CENTRO</v>
      </c>
      <c r="D75" t="str">
        <f>VLOOKUP($B75,'[1]DB PV ENI'!$A$4:$H$577,3,FALSE)</f>
        <v>TOSCANA</v>
      </c>
      <c r="E75" t="str">
        <f>VLOOKUP($B75,'[1]DB PV ENI'!$A$4:$H$577,4,FALSE)</f>
        <v>LUCCA</v>
      </c>
      <c r="F75" t="str">
        <f>VLOOKUP($B75,'[1]DB PV ENI'!$A$4:$H$577,5,FALSE)</f>
        <v>PIETRASANTA</v>
      </c>
      <c r="G75" t="str">
        <f>VLOOKUP($B75,'[1]DB PV ENI'!$A$4:$H$577,6,FALSE)</f>
        <v>UNITA' D'ITALIA 9</v>
      </c>
      <c r="H75">
        <v>13</v>
      </c>
      <c r="I75" s="1">
        <v>8</v>
      </c>
      <c r="J75" s="1">
        <v>5</v>
      </c>
      <c r="K75" s="1">
        <v>6</v>
      </c>
      <c r="L75" s="4">
        <v>1.2</v>
      </c>
    </row>
    <row r="76" spans="1:12" x14ac:dyDescent="0.15">
      <c r="A76" s="3" t="s">
        <v>12</v>
      </c>
      <c r="B76">
        <v>55491</v>
      </c>
      <c r="C76" t="str">
        <f>VLOOKUP($B76,'[1]DB PV ENI'!$A$4:$H$577,2,FALSE)</f>
        <v>CENTRO</v>
      </c>
      <c r="D76" t="str">
        <f>VLOOKUP($B76,'[1]DB PV ENI'!$A$4:$H$577,3,FALSE)</f>
        <v>TOSCANA</v>
      </c>
      <c r="E76" t="str">
        <f>VLOOKUP($B76,'[1]DB PV ENI'!$A$4:$H$577,4,FALSE)</f>
        <v>LUCCA</v>
      </c>
      <c r="F76" t="str">
        <f>VLOOKUP($B76,'[1]DB PV ENI'!$A$4:$H$577,5,FALSE)</f>
        <v>BORGO A MOZZANO</v>
      </c>
      <c r="G76" t="str">
        <f>VLOOKUP($B76,'[1]DB PV ENI'!$A$4:$H$577,6,FALSE)</f>
        <v>VIA LUDOVICA</v>
      </c>
      <c r="H76">
        <v>17</v>
      </c>
      <c r="I76" s="1">
        <v>6</v>
      </c>
      <c r="J76" s="1">
        <v>11</v>
      </c>
      <c r="K76" s="1">
        <v>6</v>
      </c>
      <c r="L76" s="4">
        <v>0.54545454545454541</v>
      </c>
    </row>
    <row r="77" spans="1:12" x14ac:dyDescent="0.15">
      <c r="A77" s="3" t="s">
        <v>12</v>
      </c>
      <c r="B77">
        <v>3827</v>
      </c>
      <c r="C77" t="str">
        <f>VLOOKUP($B77,'[1]DB PV ENI'!$A$4:$H$577,2,FALSE)</f>
        <v>NORD EST</v>
      </c>
      <c r="D77" t="str">
        <f>VLOOKUP($B77,'[1]DB PV ENI'!$A$4:$H$577,3,FALSE)</f>
        <v>VENETO</v>
      </c>
      <c r="E77" t="str">
        <f>VLOOKUP($B77,'[1]DB PV ENI'!$A$4:$H$577,4,FALSE)</f>
        <v>VERONA</v>
      </c>
      <c r="F77" t="str">
        <f>VLOOKUP($B77,'[1]DB PV ENI'!$A$4:$H$577,5,FALSE)</f>
        <v>SAN BONIFACIO</v>
      </c>
      <c r="G77" t="str">
        <f>VLOOKUP($B77,'[1]DB PV ENI'!$A$4:$H$577,6,FALSE)</f>
        <v>LOC. VILLABELLA N. 19 S.S. 11</v>
      </c>
      <c r="H77">
        <v>15</v>
      </c>
      <c r="I77" s="1">
        <v>7</v>
      </c>
      <c r="J77" s="1">
        <v>8</v>
      </c>
      <c r="K77" s="1">
        <v>6</v>
      </c>
      <c r="L77" s="4">
        <v>0.75</v>
      </c>
    </row>
    <row r="78" spans="1:12" x14ac:dyDescent="0.15">
      <c r="A78" s="3" t="s">
        <v>12</v>
      </c>
      <c r="B78">
        <v>3906</v>
      </c>
      <c r="C78" t="str">
        <f>VLOOKUP($B78,'[1]DB PV ENI'!$A$4:$H$577,2,FALSE)</f>
        <v>NORD EST</v>
      </c>
      <c r="D78" t="str">
        <f>VLOOKUP($B78,'[1]DB PV ENI'!$A$4:$H$577,3,FALSE)</f>
        <v>VENETO</v>
      </c>
      <c r="E78" t="str">
        <f>VLOOKUP($B78,'[1]DB PV ENI'!$A$4:$H$577,4,FALSE)</f>
        <v>VICENZA</v>
      </c>
      <c r="F78" t="str">
        <f>VLOOKUP($B78,'[1]DB PV ENI'!$A$4:$H$577,5,FALSE)</f>
        <v>ARZIGNANO</v>
      </c>
      <c r="G78" t="str">
        <f>VLOOKUP($B78,'[1]DB PV ENI'!$A$4:$H$577,6,FALSE)</f>
        <v>VIA CHIAMPO 19</v>
      </c>
      <c r="H78">
        <v>14</v>
      </c>
      <c r="I78" s="1">
        <v>9</v>
      </c>
      <c r="J78" s="1">
        <v>5</v>
      </c>
      <c r="K78" s="1">
        <v>6</v>
      </c>
      <c r="L78" s="4">
        <v>1.2</v>
      </c>
    </row>
    <row r="79" spans="1:12" x14ac:dyDescent="0.15">
      <c r="A79" s="3" t="s">
        <v>12</v>
      </c>
      <c r="B79">
        <v>3979</v>
      </c>
      <c r="C79" t="str">
        <f>VLOOKUP($B79,'[1]DB PV ENI'!$A$4:$H$577,2,FALSE)</f>
        <v>NORD EST</v>
      </c>
      <c r="D79" t="str">
        <f>VLOOKUP($B79,'[1]DB PV ENI'!$A$4:$H$577,3,FALSE)</f>
        <v>VENETO</v>
      </c>
      <c r="E79" t="str">
        <f>VLOOKUP($B79,'[1]DB PV ENI'!$A$4:$H$577,4,FALSE)</f>
        <v>VICENZA</v>
      </c>
      <c r="F79" t="str">
        <f>VLOOKUP($B79,'[1]DB PV ENI'!$A$4:$H$577,5,FALSE)</f>
        <v>VICENZA</v>
      </c>
      <c r="G79" t="str">
        <f>VLOOKUP($B79,'[1]DB PV ENI'!$A$4:$H$577,6,FALSE)</f>
        <v>VIA TRIESTE</v>
      </c>
      <c r="H79">
        <v>17</v>
      </c>
      <c r="I79" s="1">
        <v>13</v>
      </c>
      <c r="J79" s="1">
        <v>4</v>
      </c>
      <c r="K79" s="1">
        <v>6</v>
      </c>
      <c r="L79" s="4">
        <v>1.5</v>
      </c>
    </row>
    <row r="80" spans="1:12" x14ac:dyDescent="0.15">
      <c r="A80" s="3" t="s">
        <v>12</v>
      </c>
      <c r="B80">
        <v>6019</v>
      </c>
      <c r="C80" t="str">
        <f>VLOOKUP($B80,'[1]DB PV ENI'!$A$4:$H$577,2,FALSE)</f>
        <v>NORD EST</v>
      </c>
      <c r="D80" t="str">
        <f>VLOOKUP($B80,'[1]DB PV ENI'!$A$4:$H$577,3,FALSE)</f>
        <v>EMILIA-ROMAGNA</v>
      </c>
      <c r="E80" t="str">
        <f>VLOOKUP($B80,'[1]DB PV ENI'!$A$4:$H$577,4,FALSE)</f>
        <v>RIMINI</v>
      </c>
      <c r="F80" t="str">
        <f>VLOOKUP($B80,'[1]DB PV ENI'!$A$4:$H$577,5,FALSE)</f>
        <v>MISANO ADRIATICO</v>
      </c>
      <c r="G80" t="str">
        <f>VLOOKUP($B80,'[1]DB PV ENI'!$A$4:$H$577,6,FALSE)</f>
        <v>VIA NAZIONALE ADRIATICA 148</v>
      </c>
      <c r="H80">
        <v>21</v>
      </c>
      <c r="I80" s="1">
        <v>12</v>
      </c>
      <c r="J80" s="1">
        <v>9</v>
      </c>
      <c r="K80" s="1">
        <v>6</v>
      </c>
      <c r="L80" s="4">
        <v>0.66666666666666663</v>
      </c>
    </row>
    <row r="81" spans="1:12" x14ac:dyDescent="0.15">
      <c r="A81" s="3" t="s">
        <v>12</v>
      </c>
      <c r="B81">
        <v>53854</v>
      </c>
      <c r="C81" t="str">
        <f>VLOOKUP($B81,'[1]DB PV ENI'!$A$4:$H$577,2,FALSE)</f>
        <v>NORD EST</v>
      </c>
      <c r="D81" t="str">
        <f>VLOOKUP($B81,'[1]DB PV ENI'!$A$4:$H$577,3,FALSE)</f>
        <v>MARCHE</v>
      </c>
      <c r="E81" t="str">
        <f>VLOOKUP($B81,'[1]DB PV ENI'!$A$4:$H$577,4,FALSE)</f>
        <v>ANCONA</v>
      </c>
      <c r="F81" t="str">
        <f>VLOOKUP($B81,'[1]DB PV ENI'!$A$4:$H$577,5,FALSE)</f>
        <v>LORETO</v>
      </c>
      <c r="G81" t="str">
        <f>VLOOKUP($B81,'[1]DB PV ENI'!$A$4:$H$577,6,FALSE)</f>
        <v>MANZONI LOC. VILLA PAPA</v>
      </c>
      <c r="H81">
        <v>19</v>
      </c>
      <c r="I81" s="1">
        <v>7</v>
      </c>
      <c r="J81" s="1">
        <v>12</v>
      </c>
      <c r="K81" s="1">
        <v>6</v>
      </c>
      <c r="L81" s="4">
        <v>0.5</v>
      </c>
    </row>
    <row r="82" spans="1:12" x14ac:dyDescent="0.15">
      <c r="A82" s="3" t="s">
        <v>12</v>
      </c>
      <c r="B82">
        <v>2766</v>
      </c>
      <c r="C82" t="str">
        <f>VLOOKUP($B82,'[1]DB PV ENI'!$A$4:$H$577,2,FALSE)</f>
        <v>NORD OVEST</v>
      </c>
      <c r="D82" t="str">
        <f>VLOOKUP($B82,'[1]DB PV ENI'!$A$4:$H$577,3,FALSE)</f>
        <v>LOMBARDIA</v>
      </c>
      <c r="E82" t="str">
        <f>VLOOKUP($B82,'[1]DB PV ENI'!$A$4:$H$577,4,FALSE)</f>
        <v>SONDRIO</v>
      </c>
      <c r="F82" t="str">
        <f>VLOOKUP($B82,'[1]DB PV ENI'!$A$4:$H$577,5,FALSE)</f>
        <v>SONDRIO</v>
      </c>
      <c r="G82" t="str">
        <f>VLOOKUP($B82,'[1]DB PV ENI'!$A$4:$H$577,6,FALSE)</f>
        <v>CA' BIANCA SS 39</v>
      </c>
      <c r="H82">
        <v>18</v>
      </c>
      <c r="I82" s="1">
        <v>7</v>
      </c>
      <c r="J82" s="1">
        <v>11</v>
      </c>
      <c r="K82" s="1">
        <v>6</v>
      </c>
      <c r="L82" s="4">
        <v>0.54545454545454541</v>
      </c>
    </row>
    <row r="83" spans="1:12" x14ac:dyDescent="0.15">
      <c r="A83" s="3" t="s">
        <v>12</v>
      </c>
      <c r="B83">
        <v>2824</v>
      </c>
      <c r="C83" t="str">
        <f>VLOOKUP($B83,'[1]DB PV ENI'!$A$4:$H$577,2,FALSE)</f>
        <v>NORD OVEST</v>
      </c>
      <c r="D83" t="str">
        <f>VLOOKUP($B83,'[1]DB PV ENI'!$A$4:$H$577,3,FALSE)</f>
        <v>LOMBARDIA</v>
      </c>
      <c r="E83" t="str">
        <f>VLOOKUP($B83,'[1]DB PV ENI'!$A$4:$H$577,4,FALSE)</f>
        <v>VARESE</v>
      </c>
      <c r="F83" t="str">
        <f>VLOOKUP($B83,'[1]DB PV ENI'!$A$4:$H$577,5,FALSE)</f>
        <v>MALNATE</v>
      </c>
      <c r="G83" t="str">
        <f>VLOOKUP($B83,'[1]DB PV ENI'!$A$4:$H$577,6,FALSE)</f>
        <v>VIA KENNEDY ANG. VIA PROVINCIALE SNC</v>
      </c>
      <c r="H83">
        <v>18</v>
      </c>
      <c r="I83" s="1">
        <v>10</v>
      </c>
      <c r="J83" s="1">
        <v>8</v>
      </c>
      <c r="K83" s="1">
        <v>6</v>
      </c>
      <c r="L83" s="4">
        <v>0.75</v>
      </c>
    </row>
    <row r="84" spans="1:12" x14ac:dyDescent="0.15">
      <c r="A84" s="3" t="s">
        <v>12</v>
      </c>
      <c r="B84">
        <v>51274</v>
      </c>
      <c r="C84" t="str">
        <f>VLOOKUP($B84,'[1]DB PV ENI'!$A$4:$H$577,2,FALSE)</f>
        <v>NORD OVEST</v>
      </c>
      <c r="D84" t="str">
        <f>VLOOKUP($B84,'[1]DB PV ENI'!$A$4:$H$577,3,FALSE)</f>
        <v>PIEMONTE</v>
      </c>
      <c r="E84" t="str">
        <f>VLOOKUP($B84,'[1]DB PV ENI'!$A$4:$H$577,4,FALSE)</f>
        <v>TORINO</v>
      </c>
      <c r="F84" t="str">
        <f>VLOOKUP($B84,'[1]DB PV ENI'!$A$4:$H$577,5,FALSE)</f>
        <v>CHIVASSO</v>
      </c>
      <c r="G84" t="str">
        <f>VLOOKUP($B84,'[1]DB PV ENI'!$A$4:$H$577,6,FALSE)</f>
        <v>SS 11 KM 25+300</v>
      </c>
      <c r="H84">
        <v>15</v>
      </c>
      <c r="I84" s="1">
        <v>8</v>
      </c>
      <c r="J84" s="1">
        <v>7</v>
      </c>
      <c r="K84" s="1">
        <v>6</v>
      </c>
      <c r="L84" s="4">
        <v>0.8571428571428571</v>
      </c>
    </row>
    <row r="85" spans="1:12" x14ac:dyDescent="0.15">
      <c r="A85" s="3" t="s">
        <v>12</v>
      </c>
      <c r="B85">
        <v>8146</v>
      </c>
      <c r="C85" t="str">
        <f>VLOOKUP($B85,'[1]DB PV ENI'!$A$4:$H$577,2,FALSE)</f>
        <v>SUD</v>
      </c>
      <c r="D85" t="str">
        <f>VLOOKUP($B85,'[1]DB PV ENI'!$A$4:$H$577,3,FALSE)</f>
        <v>CAMPANIA</v>
      </c>
      <c r="E85" t="str">
        <f>VLOOKUP($B85,'[1]DB PV ENI'!$A$4:$H$577,4,FALSE)</f>
        <v>NAPOLI</v>
      </c>
      <c r="F85" t="str">
        <f>VLOOKUP($B85,'[1]DB PV ENI'!$A$4:$H$577,5,FALSE)</f>
        <v>NAPOLI</v>
      </c>
      <c r="G85" t="str">
        <f>VLOOKUP($B85,'[1]DB PV ENI'!$A$4:$H$577,6,FALSE)</f>
        <v>VIALE MADDALENA</v>
      </c>
      <c r="H85">
        <v>18</v>
      </c>
      <c r="I85" s="1">
        <v>7</v>
      </c>
      <c r="J85" s="1">
        <v>11</v>
      </c>
      <c r="K85" s="1">
        <v>6</v>
      </c>
      <c r="L85" s="4">
        <v>0.54545454545454541</v>
      </c>
    </row>
    <row r="86" spans="1:12" x14ac:dyDescent="0.15">
      <c r="A86" s="3" t="s">
        <v>12</v>
      </c>
      <c r="B86">
        <v>8182</v>
      </c>
      <c r="C86" t="str">
        <f>VLOOKUP($B86,'[1]DB PV ENI'!$A$4:$H$577,2,FALSE)</f>
        <v>SUD</v>
      </c>
      <c r="D86" t="str">
        <f>VLOOKUP($B86,'[1]DB PV ENI'!$A$4:$H$577,3,FALSE)</f>
        <v>CAMPANIA</v>
      </c>
      <c r="E86" t="str">
        <f>VLOOKUP($B86,'[1]DB PV ENI'!$A$4:$H$577,4,FALSE)</f>
        <v>NAPOLI</v>
      </c>
      <c r="F86" t="str">
        <f>VLOOKUP($B86,'[1]DB PV ENI'!$A$4:$H$577,5,FALSE)</f>
        <v>CASTELLAMMARE DI STABIA</v>
      </c>
      <c r="G86" t="str">
        <f>VLOOKUP($B86,'[1]DB PV ENI'!$A$4:$H$577,6,FALSE)</f>
        <v>VIALE EUROPA 87</v>
      </c>
      <c r="H86">
        <v>42</v>
      </c>
      <c r="I86" s="1">
        <v>21</v>
      </c>
      <c r="J86" s="1">
        <v>21</v>
      </c>
      <c r="K86" s="1">
        <v>6</v>
      </c>
      <c r="L86" s="4">
        <v>0.2857142857142857</v>
      </c>
    </row>
    <row r="87" spans="1:12" x14ac:dyDescent="0.15">
      <c r="A87" s="3" t="s">
        <v>12</v>
      </c>
      <c r="B87">
        <v>9704</v>
      </c>
      <c r="C87" t="str">
        <f>VLOOKUP($B87,'[1]DB PV ENI'!$A$4:$H$577,2,FALSE)</f>
        <v>SUD</v>
      </c>
      <c r="D87" t="str">
        <f>VLOOKUP($B87,'[1]DB PV ENI'!$A$4:$H$577,3,FALSE)</f>
        <v>SICILIA</v>
      </c>
      <c r="E87" t="str">
        <f>VLOOKUP($B87,'[1]DB PV ENI'!$A$4:$H$577,4,FALSE)</f>
        <v>MESSINA</v>
      </c>
      <c r="F87" t="str">
        <f>VLOOKUP($B87,'[1]DB PV ENI'!$A$4:$H$577,5,FALSE)</f>
        <v>ACQUEDOLCI</v>
      </c>
      <c r="G87" t="str">
        <f>VLOOKUP($B87,'[1]DB PV ENI'!$A$4:$H$577,6,FALSE)</f>
        <v>VIA NAZIONALE SS.113 KM.126+947  SNC</v>
      </c>
      <c r="H87">
        <v>14</v>
      </c>
      <c r="I87" s="1">
        <v>6</v>
      </c>
      <c r="J87" s="1">
        <v>8</v>
      </c>
      <c r="K87" s="1">
        <v>6</v>
      </c>
      <c r="L87" s="4">
        <v>0.75</v>
      </c>
    </row>
    <row r="88" spans="1:12" x14ac:dyDescent="0.15">
      <c r="A88" s="3" t="s">
        <v>12</v>
      </c>
      <c r="B88">
        <v>39403</v>
      </c>
      <c r="C88" t="str">
        <f>VLOOKUP($B88,'[1]DB PV ENI'!$A$4:$H$577,2,FALSE)</f>
        <v>SUD</v>
      </c>
      <c r="D88" t="str">
        <f>VLOOKUP($B88,'[1]DB PV ENI'!$A$4:$H$577,3,FALSE)</f>
        <v>SICILIA</v>
      </c>
      <c r="E88" t="str">
        <f>VLOOKUP($B88,'[1]DB PV ENI'!$A$4:$H$577,4,FALSE)</f>
        <v>MESSINA</v>
      </c>
      <c r="F88" t="str">
        <f>VLOOKUP($B88,'[1]DB PV ENI'!$A$4:$H$577,5,FALSE)</f>
        <v>MESSINA</v>
      </c>
      <c r="G88" t="str">
        <f>VLOOKUP($B88,'[1]DB PV ENI'!$A$4:$H$577,6,FALSE)</f>
        <v>VIALE GIOSTRA ANGOLO VIA ABETONE SNC</v>
      </c>
      <c r="H88">
        <v>24</v>
      </c>
      <c r="I88" s="1">
        <v>10</v>
      </c>
      <c r="J88" s="1">
        <v>14</v>
      </c>
      <c r="K88" s="1">
        <v>6</v>
      </c>
      <c r="L88" s="4">
        <v>0.42857142857142855</v>
      </c>
    </row>
    <row r="89" spans="1:12" x14ac:dyDescent="0.15">
      <c r="A89" s="3" t="s">
        <v>12</v>
      </c>
      <c r="B89">
        <v>39512</v>
      </c>
      <c r="C89" t="str">
        <f>VLOOKUP($B89,'[1]DB PV ENI'!$A$4:$H$577,2,FALSE)</f>
        <v>SUD</v>
      </c>
      <c r="D89" t="str">
        <f>VLOOKUP($B89,'[1]DB PV ENI'!$A$4:$H$577,3,FALSE)</f>
        <v>SICILIA</v>
      </c>
      <c r="E89" t="str">
        <f>VLOOKUP($B89,'[1]DB PV ENI'!$A$4:$H$577,4,FALSE)</f>
        <v>PALERMO</v>
      </c>
      <c r="F89" t="str">
        <f>VLOOKUP($B89,'[1]DB PV ENI'!$A$4:$H$577,5,FALSE)</f>
        <v>PALERMO</v>
      </c>
      <c r="G89" t="str">
        <f>VLOOKUP($B89,'[1]DB PV ENI'!$A$4:$H$577,6,FALSE)</f>
        <v>VIA ERNESTO  BASILE 15/17</v>
      </c>
      <c r="H89">
        <v>18</v>
      </c>
      <c r="I89" s="1">
        <v>8</v>
      </c>
      <c r="J89" s="1">
        <v>10</v>
      </c>
      <c r="K89" s="1">
        <v>6</v>
      </c>
      <c r="L89" s="4">
        <v>0.6</v>
      </c>
    </row>
    <row r="90" spans="1:12" x14ac:dyDescent="0.15">
      <c r="A90" s="3" t="s">
        <v>12</v>
      </c>
      <c r="B90">
        <v>55058</v>
      </c>
      <c r="C90" t="str">
        <f>VLOOKUP($B90,'[1]DB PV ENI'!$A$4:$H$577,2,FALSE)</f>
        <v>SUD</v>
      </c>
      <c r="D90" t="str">
        <f>VLOOKUP($B90,'[1]DB PV ENI'!$A$4:$H$577,3,FALSE)</f>
        <v>SICILIA</v>
      </c>
      <c r="E90" t="str">
        <f>VLOOKUP($B90,'[1]DB PV ENI'!$A$4:$H$577,4,FALSE)</f>
        <v>CATANIA</v>
      </c>
      <c r="F90" t="str">
        <f>VLOOKUP($B90,'[1]DB PV ENI'!$A$4:$H$577,5,FALSE)</f>
        <v>GIARRE</v>
      </c>
      <c r="G90" t="str">
        <f>VLOOKUP($B90,'[1]DB PV ENI'!$A$4:$H$577,6,FALSE)</f>
        <v>VIA LUIGI STURZO SN</v>
      </c>
      <c r="H90">
        <v>12</v>
      </c>
      <c r="I90" s="1">
        <v>6</v>
      </c>
      <c r="J90" s="1">
        <v>6</v>
      </c>
      <c r="K90" s="1">
        <v>6</v>
      </c>
      <c r="L90" s="4">
        <v>1</v>
      </c>
    </row>
    <row r="91" spans="1:12" x14ac:dyDescent="0.15">
      <c r="A91" s="3" t="s">
        <v>12</v>
      </c>
      <c r="B91">
        <v>51684</v>
      </c>
      <c r="C91" t="str">
        <f>VLOOKUP($B91,'[1]DB PV ENI'!$A$4:$H$577,2,FALSE)</f>
        <v>-</v>
      </c>
      <c r="D91" t="str">
        <f>VLOOKUP($B91,'[1]DB PV ENI'!$A$4:$H$577,3,FALSE)</f>
        <v>-</v>
      </c>
      <c r="E91" t="str">
        <f>VLOOKUP($B91,'[1]DB PV ENI'!$A$4:$H$577,4,FALSE)</f>
        <v>-</v>
      </c>
      <c r="F91" t="str">
        <f>VLOOKUP($B91,'[1]DB PV ENI'!$A$4:$H$577,5,FALSE)</f>
        <v>-</v>
      </c>
      <c r="G91" t="str">
        <f>VLOOKUP($B91,'[1]DB PV ENI'!$A$4:$H$577,6,FALSE)</f>
        <v>-</v>
      </c>
      <c r="H91">
        <v>12</v>
      </c>
      <c r="I91" s="1">
        <v>6</v>
      </c>
      <c r="J91" s="1">
        <v>6</v>
      </c>
      <c r="K91" s="1">
        <v>5</v>
      </c>
      <c r="L91" s="4">
        <v>0.83333333333333337</v>
      </c>
    </row>
    <row r="92" spans="1:12" x14ac:dyDescent="0.15">
      <c r="A92" s="3" t="s">
        <v>12</v>
      </c>
      <c r="B92">
        <v>24529</v>
      </c>
      <c r="C92" t="str">
        <f>VLOOKUP($B92,'[1]DB PV ENI'!$A$4:$H$577,2,FALSE)</f>
        <v>CENTRO</v>
      </c>
      <c r="D92" t="str">
        <f>VLOOKUP($B92,'[1]DB PV ENI'!$A$4:$H$577,3,FALSE)</f>
        <v>UMBRIA</v>
      </c>
      <c r="E92" t="str">
        <f>VLOOKUP($B92,'[1]DB PV ENI'!$A$4:$H$577,4,FALSE)</f>
        <v>PERUGIA</v>
      </c>
      <c r="F92" t="str">
        <f>VLOOKUP($B92,'[1]DB PV ENI'!$A$4:$H$577,5,FALSE)</f>
        <v>PERUGIA</v>
      </c>
      <c r="G92" t="str">
        <f>VLOOKUP($B92,'[1]DB PV ENI'!$A$4:$H$577,6,FALSE)</f>
        <v>VIA P. SORIANO</v>
      </c>
      <c r="H92">
        <v>19</v>
      </c>
      <c r="I92" s="1">
        <v>10</v>
      </c>
      <c r="J92" s="1">
        <v>9</v>
      </c>
      <c r="K92" s="1">
        <v>5</v>
      </c>
      <c r="L92" s="4">
        <v>0.55555555555555558</v>
      </c>
    </row>
    <row r="93" spans="1:12" x14ac:dyDescent="0.15">
      <c r="A93" s="3" t="s">
        <v>12</v>
      </c>
      <c r="B93">
        <v>3269</v>
      </c>
      <c r="C93" t="str">
        <f>VLOOKUP($B93,'[1]DB PV ENI'!$A$4:$H$577,2,FALSE)</f>
        <v>NORD EST</v>
      </c>
      <c r="D93" t="str">
        <f>VLOOKUP($B93,'[1]DB PV ENI'!$A$4:$H$577,3,FALSE)</f>
        <v>VENETO</v>
      </c>
      <c r="E93" t="str">
        <f>VLOOKUP($B93,'[1]DB PV ENI'!$A$4:$H$577,4,FALSE)</f>
        <v>PADOVA</v>
      </c>
      <c r="F93" t="str">
        <f>VLOOKUP($B93,'[1]DB PV ENI'!$A$4:$H$577,5,FALSE)</f>
        <v>ESTE</v>
      </c>
      <c r="G93" t="str">
        <f>VLOOKUP($B93,'[1]DB PV ENI'!$A$4:$H$577,6,FALSE)</f>
        <v>BORGO FURO 12</v>
      </c>
      <c r="H93">
        <v>28</v>
      </c>
      <c r="I93" s="1">
        <v>10</v>
      </c>
      <c r="J93" s="1">
        <v>18</v>
      </c>
      <c r="K93" s="1">
        <v>5</v>
      </c>
      <c r="L93" s="4">
        <v>0.27777777777777779</v>
      </c>
    </row>
    <row r="94" spans="1:12" x14ac:dyDescent="0.15">
      <c r="A94" s="3" t="s">
        <v>12</v>
      </c>
      <c r="B94">
        <v>3288</v>
      </c>
      <c r="C94" t="str">
        <f>VLOOKUP($B94,'[1]DB PV ENI'!$A$4:$H$577,2,FALSE)</f>
        <v>NORD EST</v>
      </c>
      <c r="D94" t="str">
        <f>VLOOKUP($B94,'[1]DB PV ENI'!$A$4:$H$577,3,FALSE)</f>
        <v>VENETO</v>
      </c>
      <c r="E94" t="str">
        <f>VLOOKUP($B94,'[1]DB PV ENI'!$A$4:$H$577,4,FALSE)</f>
        <v>PADOVA</v>
      </c>
      <c r="F94" t="str">
        <f>VLOOKUP($B94,'[1]DB PV ENI'!$A$4:$H$577,5,FALSE)</f>
        <v>PADOVA</v>
      </c>
      <c r="G94" t="str">
        <f>VLOOKUP($B94,'[1]DB PV ENI'!$A$4:$H$577,6,FALSE)</f>
        <v>VIA GATTAMELATA 24</v>
      </c>
      <c r="H94">
        <v>29</v>
      </c>
      <c r="I94" s="1">
        <v>9</v>
      </c>
      <c r="J94" s="1">
        <v>20</v>
      </c>
      <c r="K94" s="1">
        <v>5</v>
      </c>
      <c r="L94" s="4">
        <v>0.25</v>
      </c>
    </row>
    <row r="95" spans="1:12" x14ac:dyDescent="0.15">
      <c r="A95" s="3" t="s">
        <v>12</v>
      </c>
      <c r="B95">
        <v>3317</v>
      </c>
      <c r="C95" t="str">
        <f>VLOOKUP($B95,'[1]DB PV ENI'!$A$4:$H$577,2,FALSE)</f>
        <v>NORD EST</v>
      </c>
      <c r="D95" t="str">
        <f>VLOOKUP($B95,'[1]DB PV ENI'!$A$4:$H$577,3,FALSE)</f>
        <v>VENETO</v>
      </c>
      <c r="E95" t="str">
        <f>VLOOKUP($B95,'[1]DB PV ENI'!$A$4:$H$577,4,FALSE)</f>
        <v>PADOVA</v>
      </c>
      <c r="F95" t="str">
        <f>VLOOKUP($B95,'[1]DB PV ENI'!$A$4:$H$577,5,FALSE)</f>
        <v>PADOVA</v>
      </c>
      <c r="G95" t="str">
        <f>VLOOKUP($B95,'[1]DB PV ENI'!$A$4:$H$577,6,FALSE)</f>
        <v>VIA ARMISTIZIO 180</v>
      </c>
      <c r="H95">
        <v>19</v>
      </c>
      <c r="I95" s="1">
        <v>10</v>
      </c>
      <c r="J95" s="1">
        <v>9</v>
      </c>
      <c r="K95" s="1">
        <v>5</v>
      </c>
      <c r="L95" s="4">
        <v>0.55555555555555558</v>
      </c>
    </row>
    <row r="96" spans="1:12" x14ac:dyDescent="0.15">
      <c r="A96" s="3" t="s">
        <v>12</v>
      </c>
      <c r="B96">
        <v>3992</v>
      </c>
      <c r="C96" t="str">
        <f>VLOOKUP($B96,'[1]DB PV ENI'!$A$4:$H$577,2,FALSE)</f>
        <v>NORD EST</v>
      </c>
      <c r="D96" t="str">
        <f>VLOOKUP($B96,'[1]DB PV ENI'!$A$4:$H$577,3,FALSE)</f>
        <v>VENETO</v>
      </c>
      <c r="E96" t="str">
        <f>VLOOKUP($B96,'[1]DB PV ENI'!$A$4:$H$577,4,FALSE)</f>
        <v>VICENZA</v>
      </c>
      <c r="F96" t="str">
        <f>VLOOKUP($B96,'[1]DB PV ENI'!$A$4:$H$577,5,FALSE)</f>
        <v>SCHIO</v>
      </c>
      <c r="G96" t="str">
        <f>VLOOKUP($B96,'[1]DB PV ENI'!$A$4:$H$577,6,FALSE)</f>
        <v>VIA P.MARASCHIN 50</v>
      </c>
      <c r="H96">
        <v>19</v>
      </c>
      <c r="I96" s="1">
        <v>9</v>
      </c>
      <c r="J96" s="1">
        <v>10</v>
      </c>
      <c r="K96" s="1">
        <v>5</v>
      </c>
      <c r="L96" s="4">
        <v>0.5</v>
      </c>
    </row>
    <row r="97" spans="1:12" x14ac:dyDescent="0.15">
      <c r="A97" s="3" t="s">
        <v>12</v>
      </c>
      <c r="B97">
        <v>4131</v>
      </c>
      <c r="C97" t="str">
        <f>VLOOKUP($B97,'[1]DB PV ENI'!$A$4:$H$577,2,FALSE)</f>
        <v>NORD EST</v>
      </c>
      <c r="D97" t="str">
        <f>VLOOKUP($B97,'[1]DB PV ENI'!$A$4:$H$577,3,FALSE)</f>
        <v>FRIULI VENEZIA GIULIA</v>
      </c>
      <c r="E97" t="str">
        <f>VLOOKUP($B97,'[1]DB PV ENI'!$A$4:$H$577,4,FALSE)</f>
        <v>GORIZIA</v>
      </c>
      <c r="F97" t="str">
        <f>VLOOKUP($B97,'[1]DB PV ENI'!$A$4:$H$577,5,FALSE)</f>
        <v>MONFALCONE</v>
      </c>
      <c r="G97" t="str">
        <f>VLOOKUP($B97,'[1]DB PV ENI'!$A$4:$H$577,6,FALSE)</f>
        <v>VIA VALENTINIS, SS 14 61</v>
      </c>
      <c r="H97">
        <v>11</v>
      </c>
      <c r="I97" s="1">
        <v>5</v>
      </c>
      <c r="J97" s="1">
        <v>6</v>
      </c>
      <c r="K97" s="1">
        <v>5</v>
      </c>
      <c r="L97" s="4">
        <v>0.83333333333333337</v>
      </c>
    </row>
    <row r="98" spans="1:12" x14ac:dyDescent="0.15">
      <c r="A98" s="3" t="s">
        <v>12</v>
      </c>
      <c r="B98">
        <v>5543</v>
      </c>
      <c r="C98" t="str">
        <f>VLOOKUP($B98,'[1]DB PV ENI'!$A$4:$H$577,2,FALSE)</f>
        <v>NORD EST</v>
      </c>
      <c r="D98" t="str">
        <f>VLOOKUP($B98,'[1]DB PV ENI'!$A$4:$H$577,3,FALSE)</f>
        <v>EMILIA-ROMAGNA</v>
      </c>
      <c r="E98" t="str">
        <f>VLOOKUP($B98,'[1]DB PV ENI'!$A$4:$H$577,4,FALSE)</f>
        <v>BOLOGNA</v>
      </c>
      <c r="F98" t="str">
        <f>VLOOKUP($B98,'[1]DB PV ENI'!$A$4:$H$577,5,FALSE)</f>
        <v>SASSO MARCONI</v>
      </c>
      <c r="G98" t="str">
        <f>VLOOKUP($B98,'[1]DB PV ENI'!$A$4:$H$577,6,FALSE)</f>
        <v>VIA KENNEDY 7</v>
      </c>
      <c r="H98">
        <v>15</v>
      </c>
      <c r="I98" s="1">
        <v>7</v>
      </c>
      <c r="J98" s="1">
        <v>8</v>
      </c>
      <c r="K98" s="1">
        <v>5</v>
      </c>
      <c r="L98" s="4">
        <v>0.625</v>
      </c>
    </row>
    <row r="99" spans="1:12" x14ac:dyDescent="0.15">
      <c r="A99" s="3" t="s">
        <v>12</v>
      </c>
      <c r="B99">
        <v>5941</v>
      </c>
      <c r="C99" t="str">
        <f>VLOOKUP($B99,'[1]DB PV ENI'!$A$4:$H$577,2,FALSE)</f>
        <v>NORD EST</v>
      </c>
      <c r="D99" t="str">
        <f>VLOOKUP($B99,'[1]DB PV ENI'!$A$4:$H$577,3,FALSE)</f>
        <v>EMILIA-ROMAGNA</v>
      </c>
      <c r="E99" t="str">
        <f>VLOOKUP($B99,'[1]DB PV ENI'!$A$4:$H$577,4,FALSE)</f>
        <v>FORLI CESENA</v>
      </c>
      <c r="F99" t="str">
        <f>VLOOKUP($B99,'[1]DB PV ENI'!$A$4:$H$577,5,FALSE)</f>
        <v>FORLÌ</v>
      </c>
      <c r="G99" t="str">
        <f>VLOOKUP($B99,'[1]DB PV ENI'!$A$4:$H$577,6,FALSE)</f>
        <v>VIA EUGENIO BERTINI</v>
      </c>
      <c r="H99">
        <v>19</v>
      </c>
      <c r="I99" s="1">
        <v>6</v>
      </c>
      <c r="J99" s="1">
        <v>13</v>
      </c>
      <c r="K99" s="1">
        <v>5</v>
      </c>
      <c r="L99" s="4">
        <v>0.38461538461538464</v>
      </c>
    </row>
    <row r="100" spans="1:12" x14ac:dyDescent="0.15">
      <c r="A100" s="3" t="s">
        <v>12</v>
      </c>
      <c r="B100">
        <v>6363</v>
      </c>
      <c r="C100" t="str">
        <f>VLOOKUP($B100,'[1]DB PV ENI'!$A$4:$H$577,2,FALSE)</f>
        <v>NORD EST</v>
      </c>
      <c r="D100" t="str">
        <f>VLOOKUP($B100,'[1]DB PV ENI'!$A$4:$H$577,3,FALSE)</f>
        <v>EMILIA-ROMAGNA</v>
      </c>
      <c r="E100" t="str">
        <f>VLOOKUP($B100,'[1]DB PV ENI'!$A$4:$H$577,4,FALSE)</f>
        <v>MODENA</v>
      </c>
      <c r="F100" t="str">
        <f>VLOOKUP($B100,'[1]DB PV ENI'!$A$4:$H$577,5,FALSE)</f>
        <v>BOMPORTO</v>
      </c>
      <c r="G100" t="str">
        <f>VLOOKUP($B100,'[1]DB PV ENI'!$A$4:$H$577,6,FALSE)</f>
        <v>VIA GORGHETTO, 2</v>
      </c>
      <c r="H100">
        <v>10</v>
      </c>
      <c r="I100" s="1">
        <v>5</v>
      </c>
      <c r="J100" s="1">
        <v>5</v>
      </c>
      <c r="K100" s="1">
        <v>5</v>
      </c>
      <c r="L100" s="4">
        <v>1</v>
      </c>
    </row>
    <row r="101" spans="1:12" x14ac:dyDescent="0.15">
      <c r="A101" s="3" t="s">
        <v>12</v>
      </c>
      <c r="B101">
        <v>13638</v>
      </c>
      <c r="C101" t="str">
        <f>VLOOKUP($B101,'[1]DB PV ENI'!$A$4:$H$577,2,FALSE)</f>
        <v>NORD EST</v>
      </c>
      <c r="D101" t="str">
        <f>VLOOKUP($B101,'[1]DB PV ENI'!$A$4:$H$577,3,FALSE)</f>
        <v>VENETO</v>
      </c>
      <c r="E101" t="str">
        <f>VLOOKUP($B101,'[1]DB PV ENI'!$A$4:$H$577,4,FALSE)</f>
        <v>TREVISO</v>
      </c>
      <c r="F101" t="str">
        <f>VLOOKUP($B101,'[1]DB PV ENI'!$A$4:$H$577,5,FALSE)</f>
        <v>VILLORBA</v>
      </c>
      <c r="G101" t="str">
        <f>VLOOKUP($B101,'[1]DB PV ENI'!$A$4:$H$577,6,FALSE)</f>
        <v>VIA LIVIANA SCATTOLON</v>
      </c>
      <c r="H101">
        <v>49</v>
      </c>
      <c r="I101" s="1">
        <v>15</v>
      </c>
      <c r="J101" s="1">
        <v>34</v>
      </c>
      <c r="K101" s="1">
        <v>5</v>
      </c>
      <c r="L101" s="4">
        <v>0.14705882352941177</v>
      </c>
    </row>
    <row r="102" spans="1:12" x14ac:dyDescent="0.15">
      <c r="A102" s="3" t="s">
        <v>12</v>
      </c>
      <c r="B102">
        <v>23960</v>
      </c>
      <c r="C102" t="str">
        <f>VLOOKUP($B102,'[1]DB PV ENI'!$A$4:$H$577,2,FALSE)</f>
        <v>NORD EST</v>
      </c>
      <c r="D102" t="str">
        <f>VLOOKUP($B102,'[1]DB PV ENI'!$A$4:$H$577,3,FALSE)</f>
        <v>VENETO</v>
      </c>
      <c r="E102" t="str">
        <f>VLOOKUP($B102,'[1]DB PV ENI'!$A$4:$H$577,4,FALSE)</f>
        <v>VICENZA</v>
      </c>
      <c r="F102" t="str">
        <f>VLOOKUP($B102,'[1]DB PV ENI'!$A$4:$H$577,5,FALSE)</f>
        <v>CASSOLA</v>
      </c>
      <c r="G102" t="str">
        <f>VLOOKUP($B102,'[1]DB PV ENI'!$A$4:$H$577,6,FALSE)</f>
        <v>SS 47 VALSUGANA KM.42+600</v>
      </c>
      <c r="H102">
        <v>25</v>
      </c>
      <c r="I102" s="1">
        <v>10</v>
      </c>
      <c r="J102" s="1">
        <v>15</v>
      </c>
      <c r="K102" s="1">
        <v>5</v>
      </c>
      <c r="L102" s="4">
        <v>0.33333333333333331</v>
      </c>
    </row>
    <row r="103" spans="1:12" x14ac:dyDescent="0.15">
      <c r="A103" s="3" t="s">
        <v>12</v>
      </c>
      <c r="B103">
        <v>23971</v>
      </c>
      <c r="C103" t="str">
        <f>VLOOKUP($B103,'[1]DB PV ENI'!$A$4:$H$577,2,FALSE)</f>
        <v>NORD EST</v>
      </c>
      <c r="D103" t="str">
        <f>VLOOKUP($B103,'[1]DB PV ENI'!$A$4:$H$577,3,FALSE)</f>
        <v>VENETO</v>
      </c>
      <c r="E103" t="str">
        <f>VLOOKUP($B103,'[1]DB PV ENI'!$A$4:$H$577,4,FALSE)</f>
        <v>VICENZA</v>
      </c>
      <c r="F103" t="str">
        <f>VLOOKUP($B103,'[1]DB PV ENI'!$A$4:$H$577,5,FALSE)</f>
        <v>LONIGO</v>
      </c>
      <c r="G103" t="str">
        <f>VLOOKUP($B103,'[1]DB PV ENI'!$A$4:$H$577,6,FALSE)</f>
        <v>VARIANTE SS 500 SNC</v>
      </c>
      <c r="H103">
        <v>15</v>
      </c>
      <c r="I103" s="1">
        <v>6</v>
      </c>
      <c r="J103" s="1">
        <v>9</v>
      </c>
      <c r="K103" s="1">
        <v>5</v>
      </c>
      <c r="L103" s="4">
        <v>0.55555555555555558</v>
      </c>
    </row>
    <row r="104" spans="1:12" x14ac:dyDescent="0.15">
      <c r="A104" s="3" t="s">
        <v>12</v>
      </c>
      <c r="B104">
        <v>53958</v>
      </c>
      <c r="C104" t="str">
        <f>VLOOKUP($B104,'[1]DB PV ENI'!$A$4:$H$577,2,FALSE)</f>
        <v>NORD EST</v>
      </c>
      <c r="D104" t="str">
        <f>VLOOKUP($B104,'[1]DB PV ENI'!$A$4:$H$577,3,FALSE)</f>
        <v>EMILIA-ROMAGNA</v>
      </c>
      <c r="E104" t="str">
        <f>VLOOKUP($B104,'[1]DB PV ENI'!$A$4:$H$577,4,FALSE)</f>
        <v>PIACENZA</v>
      </c>
      <c r="F104" t="str">
        <f>VLOOKUP($B104,'[1]DB PV ENI'!$A$4:$H$577,5,FALSE)</f>
        <v>PIACENZA</v>
      </c>
      <c r="G104" t="str">
        <f>VLOOKUP($B104,'[1]DB PV ENI'!$A$4:$H$577,6,FALSE)</f>
        <v>VIA FARNESIANA 151</v>
      </c>
      <c r="H104">
        <v>26</v>
      </c>
      <c r="I104" s="1">
        <v>11</v>
      </c>
      <c r="J104" s="1">
        <v>15</v>
      </c>
      <c r="K104" s="1">
        <v>5</v>
      </c>
      <c r="L104" s="4">
        <v>0.33333333333333331</v>
      </c>
    </row>
    <row r="105" spans="1:12" x14ac:dyDescent="0.15">
      <c r="A105" s="3" t="s">
        <v>12</v>
      </c>
      <c r="B105">
        <v>55557</v>
      </c>
      <c r="C105" t="str">
        <f>VLOOKUP($B105,'[1]DB PV ENI'!$A$4:$H$577,2,FALSE)</f>
        <v>NORD EST</v>
      </c>
      <c r="D105" t="str">
        <f>VLOOKUP($B105,'[1]DB PV ENI'!$A$4:$H$577,3,FALSE)</f>
        <v>EMILIA-ROMAGNA</v>
      </c>
      <c r="E105" t="str">
        <f>VLOOKUP($B105,'[1]DB PV ENI'!$A$4:$H$577,4,FALSE)</f>
        <v>PARMA</v>
      </c>
      <c r="F105" t="str">
        <f>VLOOKUP($B105,'[1]DB PV ENI'!$A$4:$H$577,5,FALSE)</f>
        <v>PARMA</v>
      </c>
      <c r="G105" t="str">
        <f>VLOOKUP($B105,'[1]DB PV ENI'!$A$4:$H$577,6,FALSE)</f>
        <v>VIA TRAVERSETOLO</v>
      </c>
      <c r="H105">
        <v>19</v>
      </c>
      <c r="I105" s="1">
        <v>11</v>
      </c>
      <c r="J105" s="1">
        <v>8</v>
      </c>
      <c r="K105" s="1">
        <v>5</v>
      </c>
      <c r="L105" s="4">
        <v>0.625</v>
      </c>
    </row>
    <row r="106" spans="1:12" x14ac:dyDescent="0.15">
      <c r="A106" s="3" t="s">
        <v>12</v>
      </c>
      <c r="B106">
        <v>460</v>
      </c>
      <c r="C106" t="str">
        <f>VLOOKUP($B106,'[1]DB PV ENI'!$A$4:$H$577,2,FALSE)</f>
        <v>NORD OVEST</v>
      </c>
      <c r="D106" t="str">
        <f>VLOOKUP($B106,'[1]DB PV ENI'!$A$4:$H$577,3,FALSE)</f>
        <v>PIEMONTE</v>
      </c>
      <c r="E106" t="str">
        <f>VLOOKUP($B106,'[1]DB PV ENI'!$A$4:$H$577,4,FALSE)</f>
        <v>NOVARA</v>
      </c>
      <c r="F106" t="str">
        <f>VLOOKUP($B106,'[1]DB PV ENI'!$A$4:$H$577,5,FALSE)</f>
        <v>TRECATE</v>
      </c>
      <c r="G106" t="str">
        <f>VLOOKUP($B106,'[1]DB PV ENI'!$A$4:$H$577,6,FALSE)</f>
        <v>TRECATE</v>
      </c>
      <c r="H106">
        <v>14</v>
      </c>
      <c r="I106" s="1">
        <v>8</v>
      </c>
      <c r="J106" s="1">
        <v>6</v>
      </c>
      <c r="K106" s="1">
        <v>5</v>
      </c>
      <c r="L106" s="4">
        <v>0.83333333333333337</v>
      </c>
    </row>
    <row r="107" spans="1:12" x14ac:dyDescent="0.15">
      <c r="A107" s="3" t="s">
        <v>12</v>
      </c>
      <c r="B107">
        <v>501</v>
      </c>
      <c r="C107" t="str">
        <f>VLOOKUP($B107,'[1]DB PV ENI'!$A$4:$H$577,2,FALSE)</f>
        <v>NORD OVEST</v>
      </c>
      <c r="D107" t="str">
        <f>VLOOKUP($B107,'[1]DB PV ENI'!$A$4:$H$577,3,FALSE)</f>
        <v>PIEMONTE</v>
      </c>
      <c r="E107" t="str">
        <f>VLOOKUP($B107,'[1]DB PV ENI'!$A$4:$H$577,4,FALSE)</f>
        <v>TORINO</v>
      </c>
      <c r="F107" t="str">
        <f>VLOOKUP($B107,'[1]DB PV ENI'!$A$4:$H$577,5,FALSE)</f>
        <v>TORINO</v>
      </c>
      <c r="G107" t="str">
        <f>VLOOKUP($B107,'[1]DB PV ENI'!$A$4:$H$577,6,FALSE)</f>
        <v>LARGO TIRRENO 0123</v>
      </c>
      <c r="H107">
        <v>13</v>
      </c>
      <c r="I107" s="1">
        <v>6</v>
      </c>
      <c r="J107" s="1">
        <v>7</v>
      </c>
      <c r="K107" s="1">
        <v>5</v>
      </c>
      <c r="L107" s="4">
        <v>0.7142857142857143</v>
      </c>
    </row>
    <row r="108" spans="1:12" x14ac:dyDescent="0.15">
      <c r="A108" s="3" t="s">
        <v>12</v>
      </c>
      <c r="B108">
        <v>1024</v>
      </c>
      <c r="C108" t="str">
        <f>VLOOKUP($B108,'[1]DB PV ENI'!$A$4:$H$577,2,FALSE)</f>
        <v>NORD OVEST</v>
      </c>
      <c r="D108" t="str">
        <f>VLOOKUP($B108,'[1]DB PV ENI'!$A$4:$H$577,3,FALSE)</f>
        <v>LIGURIA</v>
      </c>
      <c r="E108" t="str">
        <f>VLOOKUP($B108,'[1]DB PV ENI'!$A$4:$H$577,4,FALSE)</f>
        <v>GENOVA</v>
      </c>
      <c r="F108" t="str">
        <f>VLOOKUP($B108,'[1]DB PV ENI'!$A$4:$H$577,5,FALSE)</f>
        <v>GENOVA</v>
      </c>
      <c r="G108" t="str">
        <f>VLOOKUP($B108,'[1]DB PV ENI'!$A$4:$H$577,6,FALSE)</f>
        <v>VIA CANTORE 20 A ROSSO</v>
      </c>
      <c r="H108">
        <v>49</v>
      </c>
      <c r="I108" s="1">
        <v>14</v>
      </c>
      <c r="J108" s="1">
        <v>35</v>
      </c>
      <c r="K108" s="1">
        <v>5</v>
      </c>
      <c r="L108" s="4">
        <v>0.14285714285714285</v>
      </c>
    </row>
    <row r="109" spans="1:12" x14ac:dyDescent="0.15">
      <c r="A109" s="3" t="s">
        <v>12</v>
      </c>
      <c r="B109">
        <v>1351</v>
      </c>
      <c r="C109" t="str">
        <f>VLOOKUP($B109,'[1]DB PV ENI'!$A$4:$H$577,2,FALSE)</f>
        <v>NORD OVEST</v>
      </c>
      <c r="D109" t="str">
        <f>VLOOKUP($B109,'[1]DB PV ENI'!$A$4:$H$577,3,FALSE)</f>
        <v>LIGURIA</v>
      </c>
      <c r="E109" t="str">
        <f>VLOOKUP($B109,'[1]DB PV ENI'!$A$4:$H$577,4,FALSE)</f>
        <v>SAVONA</v>
      </c>
      <c r="F109" t="str">
        <f>VLOOKUP($B109,'[1]DB PV ENI'!$A$4:$H$577,5,FALSE)</f>
        <v>SAVONA</v>
      </c>
      <c r="G109" t="str">
        <f>VLOOKUP($B109,'[1]DB PV ENI'!$A$4:$H$577,6,FALSE)</f>
        <v>STALINGRADO</v>
      </c>
      <c r="H109">
        <v>27</v>
      </c>
      <c r="I109" s="1">
        <v>11</v>
      </c>
      <c r="J109" s="1">
        <v>16</v>
      </c>
      <c r="K109" s="1">
        <v>5</v>
      </c>
      <c r="L109" s="4">
        <v>0.3125</v>
      </c>
    </row>
    <row r="110" spans="1:12" x14ac:dyDescent="0.15">
      <c r="A110" s="3" t="s">
        <v>12</v>
      </c>
      <c r="B110">
        <v>1574</v>
      </c>
      <c r="C110" t="str">
        <f>VLOOKUP($B110,'[1]DB PV ENI'!$A$4:$H$577,2,FALSE)</f>
        <v>NORD OVEST</v>
      </c>
      <c r="D110" t="str">
        <f>VLOOKUP($B110,'[1]DB PV ENI'!$A$4:$H$577,3,FALSE)</f>
        <v>LOMBARDIA</v>
      </c>
      <c r="E110" t="str">
        <f>VLOOKUP($B110,'[1]DB PV ENI'!$A$4:$H$577,4,FALSE)</f>
        <v>BERGAMO</v>
      </c>
      <c r="F110" t="str">
        <f>VLOOKUP($B110,'[1]DB PV ENI'!$A$4:$H$577,5,FALSE)</f>
        <v>TREVIGLIO</v>
      </c>
      <c r="G110" t="str">
        <f>VLOOKUP($B110,'[1]DB PV ENI'!$A$4:$H$577,6,FALSE)</f>
        <v>VIALE MANZONI, 11</v>
      </c>
      <c r="H110">
        <v>20</v>
      </c>
      <c r="I110" s="1">
        <v>8</v>
      </c>
      <c r="J110" s="1">
        <v>12</v>
      </c>
      <c r="K110" s="1">
        <v>5</v>
      </c>
      <c r="L110" s="4">
        <v>0.41666666666666669</v>
      </c>
    </row>
    <row r="111" spans="1:12" x14ac:dyDescent="0.15">
      <c r="A111" s="3" t="s">
        <v>12</v>
      </c>
      <c r="B111">
        <v>2591</v>
      </c>
      <c r="C111" t="str">
        <f>VLOOKUP($B111,'[1]DB PV ENI'!$A$4:$H$577,2,FALSE)</f>
        <v>NORD OVEST</v>
      </c>
      <c r="D111" t="str">
        <f>VLOOKUP($B111,'[1]DB PV ENI'!$A$4:$H$577,3,FALSE)</f>
        <v>LOMBARDIA</v>
      </c>
      <c r="E111" t="str">
        <f>VLOOKUP($B111,'[1]DB PV ENI'!$A$4:$H$577,4,FALSE)</f>
        <v>PAVIA</v>
      </c>
      <c r="F111" t="str">
        <f>VLOOKUP($B111,'[1]DB PV ENI'!$A$4:$H$577,5,FALSE)</f>
        <v>VOGHERA</v>
      </c>
      <c r="G111" t="str">
        <f>VLOOKUP($B111,'[1]DB PV ENI'!$A$4:$H$577,6,FALSE)</f>
        <v>VIA CARLO EMANUELE 5</v>
      </c>
      <c r="H111">
        <v>30</v>
      </c>
      <c r="I111" s="1">
        <v>13</v>
      </c>
      <c r="J111" s="1">
        <v>17</v>
      </c>
      <c r="K111" s="1">
        <v>5</v>
      </c>
      <c r="L111" s="4">
        <v>0.29411764705882354</v>
      </c>
    </row>
    <row r="112" spans="1:12" x14ac:dyDescent="0.15">
      <c r="A112" s="3" t="s">
        <v>12</v>
      </c>
      <c r="B112">
        <v>12351</v>
      </c>
      <c r="C112" t="str">
        <f>VLOOKUP($B112,'[1]DB PV ENI'!$A$4:$H$577,2,FALSE)</f>
        <v>NORD OVEST</v>
      </c>
      <c r="D112" t="str">
        <f>VLOOKUP($B112,'[1]DB PV ENI'!$A$4:$H$577,3,FALSE)</f>
        <v>LOMBARDIA</v>
      </c>
      <c r="E112" t="str">
        <f>VLOOKUP($B112,'[1]DB PV ENI'!$A$4:$H$577,4,FALSE)</f>
        <v>MILANO</v>
      </c>
      <c r="F112" t="str">
        <f>VLOOKUP($B112,'[1]DB PV ENI'!$A$4:$H$577,5,FALSE)</f>
        <v>MILANO</v>
      </c>
      <c r="G112" t="str">
        <f>VLOOKUP($B112,'[1]DB PV ENI'!$A$4:$H$577,6,FALSE)</f>
        <v>LORENTEGGIO 0239</v>
      </c>
      <c r="H112">
        <v>20</v>
      </c>
      <c r="I112" s="1">
        <v>9</v>
      </c>
      <c r="J112" s="1">
        <v>11</v>
      </c>
      <c r="K112" s="1">
        <v>5</v>
      </c>
      <c r="L112" s="4">
        <v>0.45454545454545453</v>
      </c>
    </row>
    <row r="113" spans="1:12" x14ac:dyDescent="0.15">
      <c r="A113" s="3" t="s">
        <v>12</v>
      </c>
      <c r="B113">
        <v>51192</v>
      </c>
      <c r="C113" t="str">
        <f>VLOOKUP($B113,'[1]DB PV ENI'!$A$4:$H$577,2,FALSE)</f>
        <v>NORD OVEST</v>
      </c>
      <c r="D113" t="str">
        <f>VLOOKUP($B113,'[1]DB PV ENI'!$A$4:$H$577,3,FALSE)</f>
        <v>PIEMONTE</v>
      </c>
      <c r="E113" t="str">
        <f>VLOOKUP($B113,'[1]DB PV ENI'!$A$4:$H$577,4,FALSE)</f>
        <v>TORINO</v>
      </c>
      <c r="F113" t="str">
        <f>VLOOKUP($B113,'[1]DB PV ENI'!$A$4:$H$577,5,FALSE)</f>
        <v>CHIERI</v>
      </c>
      <c r="G113" t="str">
        <f>VLOOKUP($B113,'[1]DB PV ENI'!$A$4:$H$577,6,FALSE)</f>
        <v>SS 10 KM 18+000</v>
      </c>
      <c r="H113">
        <v>16</v>
      </c>
      <c r="I113" s="1">
        <v>7</v>
      </c>
      <c r="J113" s="1">
        <v>9</v>
      </c>
      <c r="K113" s="1">
        <v>5</v>
      </c>
      <c r="L113" s="4">
        <v>0.55555555555555558</v>
      </c>
    </row>
    <row r="114" spans="1:12" x14ac:dyDescent="0.15">
      <c r="A114" s="3" t="s">
        <v>12</v>
      </c>
      <c r="B114">
        <v>52952</v>
      </c>
      <c r="C114" t="str">
        <f>VLOOKUP($B114,'[1]DB PV ENI'!$A$4:$H$577,2,FALSE)</f>
        <v>NORD OVEST</v>
      </c>
      <c r="D114" t="str">
        <f>VLOOKUP($B114,'[1]DB PV ENI'!$A$4:$H$577,3,FALSE)</f>
        <v>PIEMONTE</v>
      </c>
      <c r="E114" t="str">
        <f>VLOOKUP($B114,'[1]DB PV ENI'!$A$4:$H$577,4,FALSE)</f>
        <v>TORINO</v>
      </c>
      <c r="F114" t="str">
        <f>VLOOKUP($B114,'[1]DB PV ENI'!$A$4:$H$577,5,FALSE)</f>
        <v>ALPIGNANO</v>
      </c>
      <c r="G114" t="str">
        <f>VLOOKUP($B114,'[1]DB PV ENI'!$A$4:$H$577,6,FALSE)</f>
        <v>S.S. 24 KM.16+760 S.N.</v>
      </c>
      <c r="H114">
        <v>12</v>
      </c>
      <c r="I114" s="1">
        <v>7</v>
      </c>
      <c r="J114" s="1">
        <v>5</v>
      </c>
      <c r="K114" s="1">
        <v>5</v>
      </c>
      <c r="L114" s="4">
        <v>1</v>
      </c>
    </row>
    <row r="115" spans="1:12" x14ac:dyDescent="0.15">
      <c r="A115" s="3" t="s">
        <v>12</v>
      </c>
      <c r="B115">
        <v>8046</v>
      </c>
      <c r="C115" t="str">
        <f>VLOOKUP($B115,'[1]DB PV ENI'!$A$4:$H$577,2,FALSE)</f>
        <v>SUD</v>
      </c>
      <c r="D115" t="str">
        <f>VLOOKUP($B115,'[1]DB PV ENI'!$A$4:$H$577,3,FALSE)</f>
        <v>CAMPANIA</v>
      </c>
      <c r="E115" t="str">
        <f>VLOOKUP($B115,'[1]DB PV ENI'!$A$4:$H$577,4,FALSE)</f>
        <v>NAPOLI</v>
      </c>
      <c r="F115" t="str">
        <f>VLOOKUP($B115,'[1]DB PV ENI'!$A$4:$H$577,5,FALSE)</f>
        <v>NAPOLI</v>
      </c>
      <c r="G115" t="str">
        <f>VLOOKUP($B115,'[1]DB PV ENI'!$A$4:$H$577,6,FALSE)</f>
        <v>CAIO DUILIO FUORIGRO</v>
      </c>
      <c r="H115">
        <v>37</v>
      </c>
      <c r="I115" s="1">
        <v>18</v>
      </c>
      <c r="J115" s="1">
        <v>19</v>
      </c>
      <c r="K115" s="1">
        <v>5</v>
      </c>
      <c r="L115" s="4">
        <v>0.26315789473684209</v>
      </c>
    </row>
    <row r="116" spans="1:12" x14ac:dyDescent="0.15">
      <c r="A116" s="3" t="s">
        <v>12</v>
      </c>
      <c r="B116">
        <v>8970</v>
      </c>
      <c r="C116" t="str">
        <f>VLOOKUP($B116,'[1]DB PV ENI'!$A$4:$H$577,2,FALSE)</f>
        <v>SUD</v>
      </c>
      <c r="D116" t="str">
        <f>VLOOKUP($B116,'[1]DB PV ENI'!$A$4:$H$577,3,FALSE)</f>
        <v>CAMPANIA</v>
      </c>
      <c r="E116" t="str">
        <f>VLOOKUP($B116,'[1]DB PV ENI'!$A$4:$H$577,4,FALSE)</f>
        <v>SALERNO</v>
      </c>
      <c r="F116" t="str">
        <f>VLOOKUP($B116,'[1]DB PV ENI'!$A$4:$H$577,5,FALSE)</f>
        <v>CAVA DE' TIRRENI</v>
      </c>
      <c r="G116" t="str">
        <f>VLOOKUP($B116,'[1]DB PV ENI'!$A$4:$H$577,6,FALSE)</f>
        <v>VIALE LIBERTA S S 18</v>
      </c>
      <c r="H116">
        <v>15</v>
      </c>
      <c r="I116" s="1">
        <v>5</v>
      </c>
      <c r="J116" s="1">
        <v>10</v>
      </c>
      <c r="K116" s="1">
        <v>5</v>
      </c>
      <c r="L116" s="4">
        <v>0.5</v>
      </c>
    </row>
    <row r="117" spans="1:12" x14ac:dyDescent="0.15">
      <c r="A117" s="3" t="s">
        <v>12</v>
      </c>
      <c r="B117">
        <v>9619</v>
      </c>
      <c r="C117" t="str">
        <f>VLOOKUP($B117,'[1]DB PV ENI'!$A$4:$H$577,2,FALSE)</f>
        <v>SUD</v>
      </c>
      <c r="D117" t="str">
        <f>VLOOKUP($B117,'[1]DB PV ENI'!$A$4:$H$577,3,FALSE)</f>
        <v>SICILIA</v>
      </c>
      <c r="E117" t="str">
        <f>VLOOKUP($B117,'[1]DB PV ENI'!$A$4:$H$577,4,FALSE)</f>
        <v>CATANIA</v>
      </c>
      <c r="F117" t="str">
        <f>VLOOKUP($B117,'[1]DB PV ENI'!$A$4:$H$577,5,FALSE)</f>
        <v>FIUMEFREDDO DI SICILIA</v>
      </c>
      <c r="G117" t="str">
        <f>VLOOKUP($B117,'[1]DB PV ENI'!$A$4:$H$577,6,FALSE)</f>
        <v>VIA MARCONI</v>
      </c>
      <c r="H117">
        <v>32</v>
      </c>
      <c r="I117" s="1">
        <v>15</v>
      </c>
      <c r="J117" s="1">
        <v>17</v>
      </c>
      <c r="K117" s="1">
        <v>5</v>
      </c>
      <c r="L117" s="4">
        <v>0.29411764705882354</v>
      </c>
    </row>
    <row r="118" spans="1:12" x14ac:dyDescent="0.15">
      <c r="A118" s="3" t="s">
        <v>12</v>
      </c>
      <c r="B118">
        <v>9992</v>
      </c>
      <c r="C118" t="str">
        <f>VLOOKUP($B118,'[1]DB PV ENI'!$A$4:$H$577,2,FALSE)</f>
        <v>SUD</v>
      </c>
      <c r="D118" t="str">
        <f>VLOOKUP($B118,'[1]DB PV ENI'!$A$4:$H$577,3,FALSE)</f>
        <v>SICILIA</v>
      </c>
      <c r="E118" t="str">
        <f>VLOOKUP($B118,'[1]DB PV ENI'!$A$4:$H$577,4,FALSE)</f>
        <v>PALERMO</v>
      </c>
      <c r="F118" t="str">
        <f>VLOOKUP($B118,'[1]DB PV ENI'!$A$4:$H$577,5,FALSE)</f>
        <v>CAMPOFELICE DI ROCCELLA</v>
      </c>
      <c r="G118" t="str">
        <f>VLOOKUP($B118,'[1]DB PV ENI'!$A$4:$H$577,6,FALSE)</f>
        <v>SS113 KM205 LOCALITA BUON FORNELLO</v>
      </c>
      <c r="H118">
        <v>16</v>
      </c>
      <c r="I118" s="1">
        <v>9</v>
      </c>
      <c r="J118" s="1">
        <v>7</v>
      </c>
      <c r="K118" s="1">
        <v>5</v>
      </c>
      <c r="L118" s="4">
        <v>0.7142857142857143</v>
      </c>
    </row>
    <row r="119" spans="1:12" x14ac:dyDescent="0.15">
      <c r="A119" s="3" t="s">
        <v>12</v>
      </c>
      <c r="B119">
        <v>18432</v>
      </c>
      <c r="C119" t="str">
        <f>VLOOKUP($B119,'[1]DB PV ENI'!$A$4:$H$577,2,FALSE)</f>
        <v>SUD</v>
      </c>
      <c r="D119" t="str">
        <f>VLOOKUP($B119,'[1]DB PV ENI'!$A$4:$H$577,3,FALSE)</f>
        <v>CAMPANIA</v>
      </c>
      <c r="E119" t="str">
        <f>VLOOKUP($B119,'[1]DB PV ENI'!$A$4:$H$577,4,FALSE)</f>
        <v>CASERTA</v>
      </c>
      <c r="F119" t="str">
        <f>VLOOKUP($B119,'[1]DB PV ENI'!$A$4:$H$577,5,FALSE)</f>
        <v>MARCIANISE</v>
      </c>
      <c r="G119" t="str">
        <f>VLOOKUP($B119,'[1]DB PV ENI'!$A$4:$H$577,6,FALSE)</f>
        <v>VIA LEONARDO DA VINCI 14</v>
      </c>
      <c r="H119">
        <v>19</v>
      </c>
      <c r="I119" s="1">
        <v>8</v>
      </c>
      <c r="J119" s="1">
        <v>11</v>
      </c>
      <c r="K119" s="1">
        <v>5</v>
      </c>
      <c r="L119" s="4">
        <v>0.45454545454545453</v>
      </c>
    </row>
    <row r="120" spans="1:12" x14ac:dyDescent="0.15">
      <c r="A120" s="3" t="s">
        <v>12</v>
      </c>
      <c r="B120">
        <v>29688</v>
      </c>
      <c r="C120" t="str">
        <f>VLOOKUP($B120,'[1]DB PV ENI'!$A$4:$H$577,2,FALSE)</f>
        <v>SUD</v>
      </c>
      <c r="D120" t="str">
        <f>VLOOKUP($B120,'[1]DB PV ENI'!$A$4:$H$577,3,FALSE)</f>
        <v>SICILIA</v>
      </c>
      <c r="E120" t="str">
        <f>VLOOKUP($B120,'[1]DB PV ENI'!$A$4:$H$577,4,FALSE)</f>
        <v>MESSINA</v>
      </c>
      <c r="F120" t="str">
        <f>VLOOKUP($B120,'[1]DB PV ENI'!$A$4:$H$577,5,FALSE)</f>
        <v>PATTI</v>
      </c>
      <c r="G120" t="str">
        <f>VLOOKUP($B120,'[1]DB PV ENI'!$A$4:$H$577,6,FALSE)</f>
        <v>VIA PAPA GIOVANNI XIII  SN</v>
      </c>
      <c r="H120">
        <v>15</v>
      </c>
      <c r="I120" s="1">
        <v>5</v>
      </c>
      <c r="J120" s="1">
        <v>10</v>
      </c>
      <c r="K120" s="1">
        <v>5</v>
      </c>
      <c r="L120" s="4">
        <v>0.5</v>
      </c>
    </row>
    <row r="121" spans="1:12" x14ac:dyDescent="0.15">
      <c r="A121" s="3" t="s">
        <v>12</v>
      </c>
      <c r="B121">
        <v>55710</v>
      </c>
      <c r="C121" t="str">
        <f>VLOOKUP($B121,'[1]DB PV ENI'!$A$4:$H$577,2,FALSE)</f>
        <v>SUD</v>
      </c>
      <c r="D121" t="str">
        <f>VLOOKUP($B121,'[1]DB PV ENI'!$A$4:$H$577,3,FALSE)</f>
        <v>CAMPANIA</v>
      </c>
      <c r="E121" t="str">
        <f>VLOOKUP($B121,'[1]DB PV ENI'!$A$4:$H$577,4,FALSE)</f>
        <v>NAPOLI</v>
      </c>
      <c r="F121" t="str">
        <f>VLOOKUP($B121,'[1]DB PV ENI'!$A$4:$H$577,5,FALSE)</f>
        <v>NAPOLI</v>
      </c>
      <c r="G121" t="str">
        <f>VLOOKUP($B121,'[1]DB PV ENI'!$A$4:$H$577,6,FALSE)</f>
        <v>AGNANO ASTRONI</v>
      </c>
      <c r="H121">
        <v>27</v>
      </c>
      <c r="I121" s="1">
        <v>17</v>
      </c>
      <c r="J121" s="1">
        <v>10</v>
      </c>
      <c r="K121" s="1">
        <v>5</v>
      </c>
      <c r="L121" s="4">
        <v>0.5</v>
      </c>
    </row>
    <row r="122" spans="1:12" x14ac:dyDescent="0.15">
      <c r="A122" s="3" t="s">
        <v>12</v>
      </c>
      <c r="B122">
        <v>4978</v>
      </c>
      <c r="C122" t="str">
        <f>VLOOKUP($B122,'[1]DB PV ENI'!$A$4:$H$577,2,FALSE)</f>
        <v>CENTRO</v>
      </c>
      <c r="D122" t="str">
        <f>VLOOKUP($B122,'[1]DB PV ENI'!$A$4:$H$577,3,FALSE)</f>
        <v>TOSCANA</v>
      </c>
      <c r="E122" t="str">
        <f>VLOOKUP($B122,'[1]DB PV ENI'!$A$4:$H$577,4,FALSE)</f>
        <v>GROSSETO</v>
      </c>
      <c r="F122" t="str">
        <f>VLOOKUP($B122,'[1]DB PV ENI'!$A$4:$H$577,5,FALSE)</f>
        <v>SCARLINO</v>
      </c>
      <c r="G122" t="str">
        <f>VLOOKUP($B122,'[1]DB PV ENI'!$A$4:$H$577,6,FALSE)</f>
        <v>SS 1 VAR.AURELIA KM.223,2</v>
      </c>
      <c r="H122">
        <v>10</v>
      </c>
      <c r="I122" s="1">
        <v>4</v>
      </c>
      <c r="J122" s="1">
        <v>6</v>
      </c>
      <c r="K122" s="1">
        <v>4</v>
      </c>
      <c r="L122" s="4">
        <v>0.66666666666666663</v>
      </c>
    </row>
    <row r="123" spans="1:12" x14ac:dyDescent="0.15">
      <c r="A123" s="3" t="s">
        <v>12</v>
      </c>
      <c r="B123">
        <v>5054</v>
      </c>
      <c r="C123" t="str">
        <f>VLOOKUP($B123,'[1]DB PV ENI'!$A$4:$H$577,2,FALSE)</f>
        <v>CENTRO</v>
      </c>
      <c r="D123" t="str">
        <f>VLOOKUP($B123,'[1]DB PV ENI'!$A$4:$H$577,3,FALSE)</f>
        <v>TOSCANA</v>
      </c>
      <c r="E123" t="str">
        <f>VLOOKUP($B123,'[1]DB PV ENI'!$A$4:$H$577,4,FALSE)</f>
        <v>LIVORNO</v>
      </c>
      <c r="F123" t="str">
        <f>VLOOKUP($B123,'[1]DB PV ENI'!$A$4:$H$577,5,FALSE)</f>
        <v>ROSIGNANO MARITTIMO</v>
      </c>
      <c r="G123" t="str">
        <f>VLOOKUP($B123,'[1]DB PV ENI'!$A$4:$H$577,6,FALSE)</f>
        <v>VIA AURELIA, 340</v>
      </c>
      <c r="H123">
        <v>32</v>
      </c>
      <c r="I123" s="1">
        <v>9</v>
      </c>
      <c r="J123" s="1">
        <v>23</v>
      </c>
      <c r="K123" s="1">
        <v>4</v>
      </c>
      <c r="L123" s="4">
        <v>0.17391304347826086</v>
      </c>
    </row>
    <row r="124" spans="1:12" x14ac:dyDescent="0.15">
      <c r="A124" s="3" t="s">
        <v>12</v>
      </c>
      <c r="B124">
        <v>5055</v>
      </c>
      <c r="C124" t="str">
        <f>VLOOKUP($B124,'[1]DB PV ENI'!$A$4:$H$577,2,FALSE)</f>
        <v>CENTRO</v>
      </c>
      <c r="D124" t="str">
        <f>VLOOKUP($B124,'[1]DB PV ENI'!$A$4:$H$577,3,FALSE)</f>
        <v>TOSCANA</v>
      </c>
      <c r="E124" t="str">
        <f>VLOOKUP($B124,'[1]DB PV ENI'!$A$4:$H$577,4,FALSE)</f>
        <v>LIVORNO</v>
      </c>
      <c r="F124" t="str">
        <f>VLOOKUP($B124,'[1]DB PV ENI'!$A$4:$H$577,5,FALSE)</f>
        <v>COLLESALVETTI</v>
      </c>
      <c r="G124" t="str">
        <f>VLOOKUP($B124,'[1]DB PV ENI'!$A$4:$H$577,6,FALSE)</f>
        <v>FRAZ-STAGNO SS-1</v>
      </c>
      <c r="H124">
        <v>8</v>
      </c>
      <c r="I124" s="1">
        <v>4</v>
      </c>
      <c r="J124" s="1">
        <v>4</v>
      </c>
      <c r="K124" s="1">
        <v>4</v>
      </c>
      <c r="L124" s="4">
        <v>1</v>
      </c>
    </row>
    <row r="125" spans="1:12" x14ac:dyDescent="0.15">
      <c r="A125" s="3" t="s">
        <v>12</v>
      </c>
      <c r="B125">
        <v>5239</v>
      </c>
      <c r="C125" t="str">
        <f>VLOOKUP($B125,'[1]DB PV ENI'!$A$4:$H$577,2,FALSE)</f>
        <v>CENTRO</v>
      </c>
      <c r="D125" t="str">
        <f>VLOOKUP($B125,'[1]DB PV ENI'!$A$4:$H$577,3,FALSE)</f>
        <v>TOSCANA</v>
      </c>
      <c r="E125" t="str">
        <f>VLOOKUP($B125,'[1]DB PV ENI'!$A$4:$H$577,4,FALSE)</f>
        <v>PISA</v>
      </c>
      <c r="F125" t="str">
        <f>VLOOKUP($B125,'[1]DB PV ENI'!$A$4:$H$577,5,FALSE)</f>
        <v>SAN MINIATO</v>
      </c>
      <c r="G125" t="str">
        <f>VLOOKUP($B125,'[1]DB PV ENI'!$A$4:$H$577,6,FALSE)</f>
        <v>VIA PANNOCCHIA 90 - LOC. PONTE A EGOLA</v>
      </c>
      <c r="H125">
        <v>15</v>
      </c>
      <c r="I125" s="1">
        <v>8</v>
      </c>
      <c r="J125" s="1">
        <v>7</v>
      </c>
      <c r="K125" s="1">
        <v>4</v>
      </c>
      <c r="L125" s="4">
        <v>0.5714285714285714</v>
      </c>
    </row>
    <row r="126" spans="1:12" x14ac:dyDescent="0.15">
      <c r="A126" s="3" t="s">
        <v>12</v>
      </c>
      <c r="B126">
        <v>6598</v>
      </c>
      <c r="C126" t="str">
        <f>VLOOKUP($B126,'[1]DB PV ENI'!$A$4:$H$577,2,FALSE)</f>
        <v>CENTRO</v>
      </c>
      <c r="D126" t="str">
        <f>VLOOKUP($B126,'[1]DB PV ENI'!$A$4:$H$577,3,FALSE)</f>
        <v>ABRUZZO</v>
      </c>
      <c r="E126" t="str">
        <f>VLOOKUP($B126,'[1]DB PV ENI'!$A$4:$H$577,4,FALSE)</f>
        <v>CHIETI</v>
      </c>
      <c r="F126" t="str">
        <f>VLOOKUP($B126,'[1]DB PV ENI'!$A$4:$H$577,5,FALSE)</f>
        <v>VASTO</v>
      </c>
      <c r="G126" t="str">
        <f>VLOOKUP($B126,'[1]DB PV ENI'!$A$4:$H$577,6,FALSE)</f>
        <v>CORSO MAZZINI</v>
      </c>
      <c r="H126">
        <v>11</v>
      </c>
      <c r="I126" s="1">
        <v>5</v>
      </c>
      <c r="J126" s="1">
        <v>6</v>
      </c>
      <c r="K126" s="1">
        <v>4</v>
      </c>
      <c r="L126" s="4">
        <v>0.66666666666666663</v>
      </c>
    </row>
    <row r="127" spans="1:12" x14ac:dyDescent="0.15">
      <c r="A127" s="3" t="s">
        <v>12</v>
      </c>
      <c r="B127">
        <v>6905</v>
      </c>
      <c r="C127" t="str">
        <f>VLOOKUP($B127,'[1]DB PV ENI'!$A$4:$H$577,2,FALSE)</f>
        <v>CENTRO</v>
      </c>
      <c r="D127" t="str">
        <f>VLOOKUP($B127,'[1]DB PV ENI'!$A$4:$H$577,3,FALSE)</f>
        <v>LAZIO</v>
      </c>
      <c r="E127" t="str">
        <f>VLOOKUP($B127,'[1]DB PV ENI'!$A$4:$H$577,4,FALSE)</f>
        <v>RIETI</v>
      </c>
      <c r="F127" t="str">
        <f>VLOOKUP($B127,'[1]DB PV ENI'!$A$4:$H$577,5,FALSE)</f>
        <v>RIETI</v>
      </c>
      <c r="G127" t="str">
        <f>VLOOKUP($B127,'[1]DB PV ENI'!$A$4:$H$577,6,FALSE)</f>
        <v>S.S.4 KM.87+602</v>
      </c>
      <c r="H127">
        <v>16</v>
      </c>
      <c r="I127" s="1">
        <v>6</v>
      </c>
      <c r="J127" s="1">
        <v>10</v>
      </c>
      <c r="K127" s="1">
        <v>4</v>
      </c>
      <c r="L127" s="4">
        <v>0.4</v>
      </c>
    </row>
    <row r="128" spans="1:12" x14ac:dyDescent="0.15">
      <c r="A128" s="3" t="s">
        <v>12</v>
      </c>
      <c r="B128">
        <v>6927</v>
      </c>
      <c r="C128" t="str">
        <f>VLOOKUP($B128,'[1]DB PV ENI'!$A$4:$H$577,2,FALSE)</f>
        <v>CENTRO</v>
      </c>
      <c r="D128" t="str">
        <f>VLOOKUP($B128,'[1]DB PV ENI'!$A$4:$H$577,3,FALSE)</f>
        <v>LAZIO</v>
      </c>
      <c r="E128" t="str">
        <f>VLOOKUP($B128,'[1]DB PV ENI'!$A$4:$H$577,4,FALSE)</f>
        <v>RIETI</v>
      </c>
      <c r="F128" t="str">
        <f>VLOOKUP($B128,'[1]DB PV ENI'!$A$4:$H$577,5,FALSE)</f>
        <v>MAGLIANO SABINA</v>
      </c>
      <c r="G128" t="str">
        <f>VLOOKUP($B128,'[1]DB PV ENI'!$A$4:$H$577,6,FALSE)</f>
        <v>AUTOSTRADA A/1 ROMA/FI KM 509</v>
      </c>
      <c r="H128">
        <v>13</v>
      </c>
      <c r="I128" s="1">
        <v>6</v>
      </c>
      <c r="J128" s="1">
        <v>7</v>
      </c>
      <c r="K128" s="1">
        <v>4</v>
      </c>
      <c r="L128" s="4">
        <v>0.5714285714285714</v>
      </c>
    </row>
    <row r="129" spans="1:12" x14ac:dyDescent="0.15">
      <c r="A129" s="3" t="s">
        <v>12</v>
      </c>
      <c r="B129">
        <v>6965</v>
      </c>
      <c r="C129" t="str">
        <f>VLOOKUP($B129,'[1]DB PV ENI'!$A$4:$H$577,2,FALSE)</f>
        <v>CENTRO</v>
      </c>
      <c r="D129" t="str">
        <f>VLOOKUP($B129,'[1]DB PV ENI'!$A$4:$H$577,3,FALSE)</f>
        <v>LAZIO</v>
      </c>
      <c r="E129" t="str">
        <f>VLOOKUP($B129,'[1]DB PV ENI'!$A$4:$H$577,4,FALSE)</f>
        <v>ROMA</v>
      </c>
      <c r="F129" t="str">
        <f>VLOOKUP($B129,'[1]DB PV ENI'!$A$4:$H$577,5,FALSE)</f>
        <v>FIANO ROMANO</v>
      </c>
      <c r="G129" t="str">
        <f>VLOOKUP($B129,'[1]DB PV ENI'!$A$4:$H$577,6,FALSE)</f>
        <v>S.S.4 DIR. KM. 3 + 400</v>
      </c>
      <c r="H129">
        <v>20</v>
      </c>
      <c r="I129" s="1">
        <v>8</v>
      </c>
      <c r="J129" s="1">
        <v>12</v>
      </c>
      <c r="K129" s="1">
        <v>4</v>
      </c>
      <c r="L129" s="4">
        <v>0.33333333333333331</v>
      </c>
    </row>
    <row r="130" spans="1:12" x14ac:dyDescent="0.15">
      <c r="A130" s="3" t="s">
        <v>12</v>
      </c>
      <c r="B130">
        <v>7171</v>
      </c>
      <c r="C130" t="str">
        <f>VLOOKUP($B130,'[1]DB PV ENI'!$A$4:$H$577,2,FALSE)</f>
        <v>CENTRO</v>
      </c>
      <c r="D130" t="str">
        <f>VLOOKUP($B130,'[1]DB PV ENI'!$A$4:$H$577,3,FALSE)</f>
        <v>LAZIO</v>
      </c>
      <c r="E130" t="str">
        <f>VLOOKUP($B130,'[1]DB PV ENI'!$A$4:$H$577,4,FALSE)</f>
        <v>ROMA</v>
      </c>
      <c r="F130" t="str">
        <f>VLOOKUP($B130,'[1]DB PV ENI'!$A$4:$H$577,5,FALSE)</f>
        <v>CIVITAVECCHIA</v>
      </c>
      <c r="G130" t="str">
        <f>VLOOKUP($B130,'[1]DB PV ENI'!$A$4:$H$577,6,FALSE)</f>
        <v>S.S. AURELIA KM 68+885</v>
      </c>
      <c r="H130">
        <v>26</v>
      </c>
      <c r="I130" s="1">
        <v>8</v>
      </c>
      <c r="J130" s="1">
        <v>18</v>
      </c>
      <c r="K130" s="1">
        <v>4</v>
      </c>
      <c r="L130" s="4">
        <v>0.22222222222222221</v>
      </c>
    </row>
    <row r="131" spans="1:12" x14ac:dyDescent="0.15">
      <c r="A131" s="3" t="s">
        <v>12</v>
      </c>
      <c r="B131">
        <v>34001</v>
      </c>
      <c r="C131" t="str">
        <f>VLOOKUP($B131,'[1]DB PV ENI'!$A$4:$H$577,2,FALSE)</f>
        <v>CENTRO</v>
      </c>
      <c r="D131" t="str">
        <f>VLOOKUP($B131,'[1]DB PV ENI'!$A$4:$H$577,3,FALSE)</f>
        <v>TOSCANA</v>
      </c>
      <c r="E131" t="str">
        <f>VLOOKUP($B131,'[1]DB PV ENI'!$A$4:$H$577,4,FALSE)</f>
        <v>SIENA</v>
      </c>
      <c r="F131" t="str">
        <f>VLOOKUP($B131,'[1]DB PV ENI'!$A$4:$H$577,5,FALSE)</f>
        <v>SIENA</v>
      </c>
      <c r="G131" t="str">
        <f>VLOOKUP($B131,'[1]DB PV ENI'!$A$4:$H$577,6,FALSE)</f>
        <v>TANGENZIALE OVEST KM. 5,287</v>
      </c>
      <c r="H131">
        <v>13</v>
      </c>
      <c r="I131" s="1">
        <v>4</v>
      </c>
      <c r="J131" s="1">
        <v>9</v>
      </c>
      <c r="K131" s="1">
        <v>4</v>
      </c>
      <c r="L131" s="4">
        <v>0.44444444444444442</v>
      </c>
    </row>
    <row r="132" spans="1:12" x14ac:dyDescent="0.15">
      <c r="A132" s="3" t="s">
        <v>12</v>
      </c>
      <c r="B132">
        <v>36959</v>
      </c>
      <c r="C132" t="str">
        <f>VLOOKUP($B132,'[1]DB PV ENI'!$A$4:$H$577,2,FALSE)</f>
        <v>CENTRO</v>
      </c>
      <c r="D132" t="str">
        <f>VLOOKUP($B132,'[1]DB PV ENI'!$A$4:$H$577,3,FALSE)</f>
        <v>LAZIO</v>
      </c>
      <c r="E132" t="str">
        <f>VLOOKUP($B132,'[1]DB PV ENI'!$A$4:$H$577,4,FALSE)</f>
        <v>ROMA</v>
      </c>
      <c r="F132" t="str">
        <f>VLOOKUP($B132,'[1]DB PV ENI'!$A$4:$H$577,5,FALSE)</f>
        <v>ROMA</v>
      </c>
      <c r="G132" t="str">
        <f>VLOOKUP($B132,'[1]DB PV ENI'!$A$4:$H$577,6,FALSE)</f>
        <v>VIA DI TOR VERGATA</v>
      </c>
      <c r="H132">
        <v>18</v>
      </c>
      <c r="I132" s="1">
        <v>10</v>
      </c>
      <c r="J132" s="1">
        <v>8</v>
      </c>
      <c r="K132" s="1">
        <v>4</v>
      </c>
      <c r="L132" s="4">
        <v>0.5</v>
      </c>
    </row>
    <row r="133" spans="1:12" x14ac:dyDescent="0.15">
      <c r="A133" s="3" t="s">
        <v>12</v>
      </c>
      <c r="B133">
        <v>3244</v>
      </c>
      <c r="C133" t="str">
        <f>VLOOKUP($B133,'[1]DB PV ENI'!$A$4:$H$577,2,FALSE)</f>
        <v>NORD EST</v>
      </c>
      <c r="D133" t="str">
        <f>VLOOKUP($B133,'[1]DB PV ENI'!$A$4:$H$577,3,FALSE)</f>
        <v>VENETO</v>
      </c>
      <c r="E133" t="str">
        <f>VLOOKUP($B133,'[1]DB PV ENI'!$A$4:$H$577,4,FALSE)</f>
        <v>PADOVA</v>
      </c>
      <c r="F133" t="str">
        <f>VLOOKUP($B133,'[1]DB PV ENI'!$A$4:$H$577,5,FALSE)</f>
        <v>ALBIGNASEGO</v>
      </c>
      <c r="G133" t="str">
        <f>VLOOKUP($B133,'[1]DB PV ENI'!$A$4:$H$577,6,FALSE)</f>
        <v>ROMA 270</v>
      </c>
      <c r="H133">
        <v>16</v>
      </c>
      <c r="I133" s="1">
        <v>5</v>
      </c>
      <c r="J133" s="1">
        <v>11</v>
      </c>
      <c r="K133" s="1">
        <v>4</v>
      </c>
      <c r="L133" s="4">
        <v>0.36363636363636365</v>
      </c>
    </row>
    <row r="134" spans="1:12" x14ac:dyDescent="0.15">
      <c r="A134" s="3" t="s">
        <v>12</v>
      </c>
      <c r="B134">
        <v>3355</v>
      </c>
      <c r="C134" t="str">
        <f>VLOOKUP($B134,'[1]DB PV ENI'!$A$4:$H$577,2,FALSE)</f>
        <v>NORD EST</v>
      </c>
      <c r="D134" t="str">
        <f>VLOOKUP($B134,'[1]DB PV ENI'!$A$4:$H$577,3,FALSE)</f>
        <v>VENETO</v>
      </c>
      <c r="E134" t="str">
        <f>VLOOKUP($B134,'[1]DB PV ENI'!$A$4:$H$577,4,FALSE)</f>
        <v>ROVIGO</v>
      </c>
      <c r="F134" t="str">
        <f>VLOOKUP($B134,'[1]DB PV ENI'!$A$4:$H$577,5,FALSE)</f>
        <v>ROVIGO</v>
      </c>
      <c r="G134" t="str">
        <f>VLOOKUP($B134,'[1]DB PV ENI'!$A$4:$H$577,6,FALSE)</f>
        <v>VIALE PORTA PO 66/B</v>
      </c>
      <c r="H134">
        <v>30</v>
      </c>
      <c r="I134" s="1">
        <v>12</v>
      </c>
      <c r="J134" s="1">
        <v>18</v>
      </c>
      <c r="K134" s="1">
        <v>4</v>
      </c>
      <c r="L134" s="4">
        <v>0.22222222222222221</v>
      </c>
    </row>
    <row r="135" spans="1:12" x14ac:dyDescent="0.15">
      <c r="A135" s="3" t="s">
        <v>12</v>
      </c>
      <c r="B135">
        <v>3853</v>
      </c>
      <c r="C135" t="str">
        <f>VLOOKUP($B135,'[1]DB PV ENI'!$A$4:$H$577,2,FALSE)</f>
        <v>NORD EST</v>
      </c>
      <c r="D135" t="str">
        <f>VLOOKUP($B135,'[1]DB PV ENI'!$A$4:$H$577,3,FALSE)</f>
        <v>VENETO</v>
      </c>
      <c r="E135" t="str">
        <f>VLOOKUP($B135,'[1]DB PV ENI'!$A$4:$H$577,4,FALSE)</f>
        <v>VERONA</v>
      </c>
      <c r="F135" t="str">
        <f>VLOOKUP($B135,'[1]DB PV ENI'!$A$4:$H$577,5,FALSE)</f>
        <v>VERONA</v>
      </c>
      <c r="G135" t="str">
        <f>VLOOKUP($B135,'[1]DB PV ENI'!$A$4:$H$577,6,FALSE)</f>
        <v>VIA FARINATA DEGLI UBERTI 16</v>
      </c>
      <c r="H135">
        <v>10</v>
      </c>
      <c r="I135" s="1">
        <v>5</v>
      </c>
      <c r="J135" s="1">
        <v>5</v>
      </c>
      <c r="K135" s="1">
        <v>4</v>
      </c>
      <c r="L135" s="4">
        <v>0.8</v>
      </c>
    </row>
    <row r="136" spans="1:12" x14ac:dyDescent="0.15">
      <c r="A136" s="3" t="s">
        <v>12</v>
      </c>
      <c r="B136">
        <v>4044</v>
      </c>
      <c r="C136" t="str">
        <f>VLOOKUP($B136,'[1]DB PV ENI'!$A$4:$H$577,2,FALSE)</f>
        <v>NORD EST</v>
      </c>
      <c r="D136" t="str">
        <f>VLOOKUP($B136,'[1]DB PV ENI'!$A$4:$H$577,3,FALSE)</f>
        <v>FRIULI VENEZIA GIULIA</v>
      </c>
      <c r="E136" t="str">
        <f>VLOOKUP($B136,'[1]DB PV ENI'!$A$4:$H$577,4,FALSE)</f>
        <v>TRIESTE</v>
      </c>
      <c r="F136" t="str">
        <f>VLOOKUP($B136,'[1]DB PV ENI'!$A$4:$H$577,5,FALSE)</f>
        <v>TRIESTE</v>
      </c>
      <c r="G136" t="str">
        <f>VLOOKUP($B136,'[1]DB PV ENI'!$A$4:$H$577,6,FALSE)</f>
        <v>V.LE MIRAMARE  49 0049</v>
      </c>
      <c r="H136">
        <v>18</v>
      </c>
      <c r="I136" s="1">
        <v>7</v>
      </c>
      <c r="J136" s="1">
        <v>11</v>
      </c>
      <c r="K136" s="1">
        <v>4</v>
      </c>
      <c r="L136" s="4">
        <v>0.36363636363636365</v>
      </c>
    </row>
    <row r="137" spans="1:12" x14ac:dyDescent="0.15">
      <c r="A137" s="3" t="s">
        <v>12</v>
      </c>
      <c r="B137">
        <v>4203</v>
      </c>
      <c r="C137" t="str">
        <f>VLOOKUP($B137,'[1]DB PV ENI'!$A$4:$H$577,2,FALSE)</f>
        <v>NORD EST</v>
      </c>
      <c r="D137" t="str">
        <f>VLOOKUP($B137,'[1]DB PV ENI'!$A$4:$H$577,3,FALSE)</f>
        <v>FRIULI VENEZIA GIULIA</v>
      </c>
      <c r="E137" t="str">
        <f>VLOOKUP($B137,'[1]DB PV ENI'!$A$4:$H$577,4,FALSE)</f>
        <v>PORDENONE</v>
      </c>
      <c r="F137" t="str">
        <f>VLOOKUP($B137,'[1]DB PV ENI'!$A$4:$H$577,5,FALSE)</f>
        <v>PORDENONE</v>
      </c>
      <c r="G137" t="str">
        <f>VLOOKUP($B137,'[1]DB PV ENI'!$A$4:$H$577,6,FALSE)</f>
        <v>VIALE TREVISO 38</v>
      </c>
      <c r="H137">
        <v>26</v>
      </c>
      <c r="I137" s="1">
        <v>6</v>
      </c>
      <c r="J137" s="1">
        <v>20</v>
      </c>
      <c r="K137" s="1">
        <v>4</v>
      </c>
      <c r="L137" s="4">
        <v>0.2</v>
      </c>
    </row>
    <row r="138" spans="1:12" x14ac:dyDescent="0.15">
      <c r="A138" s="3" t="s">
        <v>12</v>
      </c>
      <c r="B138">
        <v>5588</v>
      </c>
      <c r="C138" t="str">
        <f>VLOOKUP($B138,'[1]DB PV ENI'!$A$4:$H$577,2,FALSE)</f>
        <v>NORD EST</v>
      </c>
      <c r="D138" t="str">
        <f>VLOOKUP($B138,'[1]DB PV ENI'!$A$4:$H$577,3,FALSE)</f>
        <v>EMILIA-ROMAGNA</v>
      </c>
      <c r="E138" t="str">
        <f>VLOOKUP($B138,'[1]DB PV ENI'!$A$4:$H$577,4,FALSE)</f>
        <v>BOLOGNA</v>
      </c>
      <c r="F138" t="str">
        <f>VLOOKUP($B138,'[1]DB PV ENI'!$A$4:$H$577,5,FALSE)</f>
        <v>BOLOGNA</v>
      </c>
      <c r="G138" t="str">
        <f>VLOOKUP($B138,'[1]DB PV ENI'!$A$4:$H$577,6,FALSE)</f>
        <v>VIA G. DOZZA, 33</v>
      </c>
      <c r="H138">
        <v>14</v>
      </c>
      <c r="I138" s="1">
        <v>5</v>
      </c>
      <c r="J138" s="1">
        <v>9</v>
      </c>
      <c r="K138" s="1">
        <v>4</v>
      </c>
      <c r="L138" s="4">
        <v>0.44444444444444442</v>
      </c>
    </row>
    <row r="139" spans="1:12" x14ac:dyDescent="0.15">
      <c r="A139" s="3" t="s">
        <v>12</v>
      </c>
      <c r="B139">
        <v>6210</v>
      </c>
      <c r="C139" t="str">
        <f>VLOOKUP($B139,'[1]DB PV ENI'!$A$4:$H$577,2,FALSE)</f>
        <v>NORD EST</v>
      </c>
      <c r="D139" t="str">
        <f>VLOOKUP($B139,'[1]DB PV ENI'!$A$4:$H$577,3,FALSE)</f>
        <v>EMILIA-ROMAGNA</v>
      </c>
      <c r="E139" t="str">
        <f>VLOOKUP($B139,'[1]DB PV ENI'!$A$4:$H$577,4,FALSE)</f>
        <v>MODENA</v>
      </c>
      <c r="F139" t="str">
        <f>VLOOKUP($B139,'[1]DB PV ENI'!$A$4:$H$577,5,FALSE)</f>
        <v>CARPI</v>
      </c>
      <c r="G139" t="str">
        <f>VLOOKUP($B139,'[1]DB PV ENI'!$A$4:$H$577,6,FALSE)</f>
        <v>VIA MANZONI</v>
      </c>
      <c r="H139">
        <v>14</v>
      </c>
      <c r="I139" s="1">
        <v>8</v>
      </c>
      <c r="J139" s="1">
        <v>6</v>
      </c>
      <c r="K139" s="1">
        <v>4</v>
      </c>
      <c r="L139" s="4">
        <v>0.66666666666666663</v>
      </c>
    </row>
    <row r="140" spans="1:12" x14ac:dyDescent="0.15">
      <c r="A140" s="3" t="s">
        <v>12</v>
      </c>
      <c r="B140">
        <v>6753</v>
      </c>
      <c r="C140" t="str">
        <f>VLOOKUP($B140,'[1]DB PV ENI'!$A$4:$H$577,2,FALSE)</f>
        <v>NORD EST</v>
      </c>
      <c r="D140" t="str">
        <f>VLOOKUP($B140,'[1]DB PV ENI'!$A$4:$H$577,3,FALSE)</f>
        <v>MARCHE</v>
      </c>
      <c r="E140" t="str">
        <f>VLOOKUP($B140,'[1]DB PV ENI'!$A$4:$H$577,4,FALSE)</f>
        <v>MACERATA</v>
      </c>
      <c r="F140" t="str">
        <f>VLOOKUP($B140,'[1]DB PV ENI'!$A$4:$H$577,5,FALSE)</f>
        <v>CIVITANOVA MARCHE</v>
      </c>
      <c r="G140" t="str">
        <f>VLOOKUP($B140,'[1]DB PV ENI'!$A$4:$H$577,6,FALSE)</f>
        <v>VIA CARDUCCI</v>
      </c>
      <c r="H140">
        <v>14</v>
      </c>
      <c r="I140" s="1">
        <v>6</v>
      </c>
      <c r="J140" s="1">
        <v>8</v>
      </c>
      <c r="K140" s="1">
        <v>4</v>
      </c>
      <c r="L140" s="4">
        <v>0.5</v>
      </c>
    </row>
    <row r="141" spans="1:12" x14ac:dyDescent="0.15">
      <c r="A141" s="3" t="s">
        <v>12</v>
      </c>
      <c r="B141">
        <v>53866</v>
      </c>
      <c r="C141" t="str">
        <f>VLOOKUP($B141,'[1]DB PV ENI'!$A$4:$H$577,2,FALSE)</f>
        <v>NORD EST</v>
      </c>
      <c r="D141" t="str">
        <f>VLOOKUP($B141,'[1]DB PV ENI'!$A$4:$H$577,3,FALSE)</f>
        <v>MARCHE</v>
      </c>
      <c r="E141" t="str">
        <f>VLOOKUP($B141,'[1]DB PV ENI'!$A$4:$H$577,4,FALSE)</f>
        <v>ANCONA</v>
      </c>
      <c r="F141" t="str">
        <f>VLOOKUP($B141,'[1]DB PV ENI'!$A$4:$H$577,5,FALSE)</f>
        <v>FALCONARA MARITTIMA</v>
      </c>
      <c r="G141" t="str">
        <f>VLOOKUP($B141,'[1]DB PV ENI'!$A$4:$H$577,6,FALSE)</f>
        <v>SS 16 KM 288+700 - VIA FLAMINIA  671 671</v>
      </c>
      <c r="H141">
        <v>10</v>
      </c>
      <c r="I141" s="1">
        <v>4</v>
      </c>
      <c r="J141" s="1">
        <v>6</v>
      </c>
      <c r="K141" s="1">
        <v>4</v>
      </c>
      <c r="L141" s="4">
        <v>0.66666666666666663</v>
      </c>
    </row>
    <row r="142" spans="1:12" x14ac:dyDescent="0.15">
      <c r="A142" s="3" t="s">
        <v>12</v>
      </c>
      <c r="B142">
        <v>1640</v>
      </c>
      <c r="C142" t="str">
        <f>VLOOKUP($B142,'[1]DB PV ENI'!$A$4:$H$577,2,FALSE)</f>
        <v>NORD OVEST</v>
      </c>
      <c r="D142" t="str">
        <f>VLOOKUP($B142,'[1]DB PV ENI'!$A$4:$H$577,3,FALSE)</f>
        <v>LOMBARDIA</v>
      </c>
      <c r="E142" t="str">
        <f>VLOOKUP($B142,'[1]DB PV ENI'!$A$4:$H$577,4,FALSE)</f>
        <v>BERGAMO</v>
      </c>
      <c r="F142" t="str">
        <f>VLOOKUP($B142,'[1]DB PV ENI'!$A$4:$H$577,5,FALSE)</f>
        <v>SERIATE</v>
      </c>
      <c r="G142" t="str">
        <f>VLOOKUP($B142,'[1]DB PV ENI'!$A$4:$H$577,6,FALSE)</f>
        <v>VIA STELLA ALPINA</v>
      </c>
      <c r="H142">
        <v>27</v>
      </c>
      <c r="I142" s="1">
        <v>12</v>
      </c>
      <c r="J142" s="1">
        <v>15</v>
      </c>
      <c r="K142" s="1">
        <v>4</v>
      </c>
      <c r="L142" s="4">
        <v>0.26666666666666666</v>
      </c>
    </row>
    <row r="143" spans="1:12" x14ac:dyDescent="0.15">
      <c r="A143" s="3" t="s">
        <v>12</v>
      </c>
      <c r="B143">
        <v>2316</v>
      </c>
      <c r="C143" t="str">
        <f>VLOOKUP($B143,'[1]DB PV ENI'!$A$4:$H$577,2,FALSE)</f>
        <v>NORD OVEST</v>
      </c>
      <c r="D143" t="str">
        <f>VLOOKUP($B143,'[1]DB PV ENI'!$A$4:$H$577,3,FALSE)</f>
        <v>LOMBARDIA</v>
      </c>
      <c r="E143" t="str">
        <f>VLOOKUP($B143,'[1]DB PV ENI'!$A$4:$H$577,4,FALSE)</f>
        <v>MILANO</v>
      </c>
      <c r="F143" t="str">
        <f>VLOOKUP($B143,'[1]DB PV ENI'!$A$4:$H$577,5,FALSE)</f>
        <v>COLOGNO MONZESE</v>
      </c>
      <c r="G143" t="str">
        <f>VLOOKUP($B143,'[1]DB PV ENI'!$A$4:$H$577,6,FALSE)</f>
        <v>VIALE EUROPA/LIGURIA</v>
      </c>
      <c r="H143">
        <v>23</v>
      </c>
      <c r="I143" s="1">
        <v>11</v>
      </c>
      <c r="J143" s="1">
        <v>12</v>
      </c>
      <c r="K143" s="1">
        <v>4</v>
      </c>
      <c r="L143" s="4">
        <v>0.33333333333333331</v>
      </c>
    </row>
    <row r="144" spans="1:12" x14ac:dyDescent="0.15">
      <c r="A144" s="3" t="s">
        <v>12</v>
      </c>
      <c r="B144">
        <v>11421</v>
      </c>
      <c r="C144" t="str">
        <f>VLOOKUP($B144,'[1]DB PV ENI'!$A$4:$H$577,2,FALSE)</f>
        <v>NORD OVEST</v>
      </c>
      <c r="D144" t="str">
        <f>VLOOKUP($B144,'[1]DB PV ENI'!$A$4:$H$577,3,FALSE)</f>
        <v>PIEMONTE</v>
      </c>
      <c r="E144" t="str">
        <f>VLOOKUP($B144,'[1]DB PV ENI'!$A$4:$H$577,4,FALSE)</f>
        <v>ALESSANDRIA</v>
      </c>
      <c r="F144" t="str">
        <f>VLOOKUP($B144,'[1]DB PV ENI'!$A$4:$H$577,5,FALSE)</f>
        <v>CASALE MONFERRATO</v>
      </c>
      <c r="G144" t="str">
        <f>VLOOKUP($B144,'[1]DB PV ENI'!$A$4:$H$577,6,FALSE)</f>
        <v>STR PROV PER VALENZA 4/B</v>
      </c>
      <c r="H144">
        <v>20</v>
      </c>
      <c r="I144" s="1">
        <v>4</v>
      </c>
      <c r="J144" s="1">
        <v>16</v>
      </c>
      <c r="K144" s="1">
        <v>4</v>
      </c>
      <c r="L144" s="4">
        <v>0.25</v>
      </c>
    </row>
    <row r="145" spans="1:12" x14ac:dyDescent="0.15">
      <c r="A145" s="3" t="s">
        <v>12</v>
      </c>
      <c r="B145">
        <v>12082</v>
      </c>
      <c r="C145" t="str">
        <f>VLOOKUP($B145,'[1]DB PV ENI'!$A$4:$H$577,2,FALSE)</f>
        <v>NORD OVEST</v>
      </c>
      <c r="D145" t="str">
        <f>VLOOKUP($B145,'[1]DB PV ENI'!$A$4:$H$577,3,FALSE)</f>
        <v>LOMBARDIA</v>
      </c>
      <c r="E145" t="str">
        <f>VLOOKUP($B145,'[1]DB PV ENI'!$A$4:$H$577,4,FALSE)</f>
        <v>MANTOVA</v>
      </c>
      <c r="F145" t="str">
        <f>VLOOKUP($B145,'[1]DB PV ENI'!$A$4:$H$577,5,FALSE)</f>
        <v>VIADANA</v>
      </c>
      <c r="G145" t="str">
        <f>VLOOKUP($B145,'[1]DB PV ENI'!$A$4:$H$577,6,FALSE)</f>
        <v>S.S. 358  KM 22+202</v>
      </c>
      <c r="H145">
        <v>13</v>
      </c>
      <c r="I145" s="1">
        <v>4</v>
      </c>
      <c r="J145" s="1">
        <v>9</v>
      </c>
      <c r="K145" s="1">
        <v>4</v>
      </c>
      <c r="L145" s="4">
        <v>0.44444444444444442</v>
      </c>
    </row>
    <row r="146" spans="1:12" x14ac:dyDescent="0.15">
      <c r="A146" s="3" t="s">
        <v>12</v>
      </c>
      <c r="B146">
        <v>52510</v>
      </c>
      <c r="C146" t="str">
        <f>VLOOKUP($B146,'[1]DB PV ENI'!$A$4:$H$577,2,FALSE)</f>
        <v>NORD OVEST</v>
      </c>
      <c r="D146" t="str">
        <f>VLOOKUP($B146,'[1]DB PV ENI'!$A$4:$H$577,3,FALSE)</f>
        <v>LOMBARDIA</v>
      </c>
      <c r="E146" t="str">
        <f>VLOOKUP($B146,'[1]DB PV ENI'!$A$4:$H$577,4,FALSE)</f>
        <v>MANTOVA</v>
      </c>
      <c r="F146" t="str">
        <f>VLOOKUP($B146,'[1]DB PV ENI'!$A$4:$H$577,5,FALSE)</f>
        <v>PORTO MANTOVANO</v>
      </c>
      <c r="G146" t="str">
        <f>VLOOKUP($B146,'[1]DB PV ENI'!$A$4:$H$577,6,FALSE)</f>
        <v>SR CISA 4 S. ANTONIO</v>
      </c>
      <c r="H146">
        <v>13</v>
      </c>
      <c r="I146" s="1">
        <v>5</v>
      </c>
      <c r="J146" s="1">
        <v>8</v>
      </c>
      <c r="K146" s="1">
        <v>4</v>
      </c>
      <c r="L146" s="4">
        <v>0.5</v>
      </c>
    </row>
    <row r="147" spans="1:12" x14ac:dyDescent="0.15">
      <c r="A147" s="3" t="s">
        <v>12</v>
      </c>
      <c r="B147">
        <v>9315</v>
      </c>
      <c r="C147" t="str">
        <f>VLOOKUP($B147,'[1]DB PV ENI'!$A$4:$H$577,2,FALSE)</f>
        <v>SUD</v>
      </c>
      <c r="D147" t="str">
        <f>VLOOKUP($B147,'[1]DB PV ENI'!$A$4:$H$577,3,FALSE)</f>
        <v>PUGLIA</v>
      </c>
      <c r="E147" t="str">
        <f>VLOOKUP($B147,'[1]DB PV ENI'!$A$4:$H$577,4,FALSE)</f>
        <v>FOGGIA</v>
      </c>
      <c r="F147" t="str">
        <f>VLOOKUP($B147,'[1]DB PV ENI'!$A$4:$H$577,5,FALSE)</f>
        <v>CHIEUTI</v>
      </c>
      <c r="G147" t="str">
        <f>VLOOKUP($B147,'[1]DB PV ENI'!$A$4:$H$577,6,FALSE)</f>
        <v>LOCALITA' FANTINA</v>
      </c>
      <c r="H147">
        <v>8</v>
      </c>
      <c r="I147" s="1">
        <v>4</v>
      </c>
      <c r="J147" s="1">
        <v>4</v>
      </c>
      <c r="K147" s="1">
        <v>4</v>
      </c>
      <c r="L147" s="4">
        <v>1</v>
      </c>
    </row>
    <row r="148" spans="1:12" x14ac:dyDescent="0.15">
      <c r="A148" s="3" t="s">
        <v>12</v>
      </c>
      <c r="B148">
        <v>9719</v>
      </c>
      <c r="C148" t="str">
        <f>VLOOKUP($B148,'[1]DB PV ENI'!$A$4:$H$577,2,FALSE)</f>
        <v>SUD</v>
      </c>
      <c r="D148" t="str">
        <f>VLOOKUP($B148,'[1]DB PV ENI'!$A$4:$H$577,3,FALSE)</f>
        <v>SICILIA</v>
      </c>
      <c r="E148" t="str">
        <f>VLOOKUP($B148,'[1]DB PV ENI'!$A$4:$H$577,4,FALSE)</f>
        <v>MESSINA</v>
      </c>
      <c r="F148" t="str">
        <f>VLOOKUP($B148,'[1]DB PV ENI'!$A$4:$H$577,5,FALSE)</f>
        <v>TERME VIGLIATORE</v>
      </c>
      <c r="G148" t="str">
        <f>VLOOKUP($B148,'[1]DB PV ENI'!$A$4:$H$577,6,FALSE)</f>
        <v>S.S.113 KM.53+563</v>
      </c>
      <c r="H148">
        <v>14</v>
      </c>
      <c r="I148" s="1">
        <v>6</v>
      </c>
      <c r="J148" s="1">
        <v>8</v>
      </c>
      <c r="K148" s="1">
        <v>4</v>
      </c>
      <c r="L148" s="4">
        <v>0.5</v>
      </c>
    </row>
    <row r="149" spans="1:12" x14ac:dyDescent="0.15">
      <c r="A149" s="3" t="s">
        <v>12</v>
      </c>
      <c r="B149">
        <v>54615</v>
      </c>
      <c r="C149" t="str">
        <f>VLOOKUP($B149,'[1]DB PV ENI'!$A$4:$H$577,2,FALSE)</f>
        <v>SUD</v>
      </c>
      <c r="D149" t="str">
        <f>VLOOKUP($B149,'[1]DB PV ENI'!$A$4:$H$577,3,FALSE)</f>
        <v>CAMPANIA</v>
      </c>
      <c r="E149" t="str">
        <f>VLOOKUP($B149,'[1]DB PV ENI'!$A$4:$H$577,4,FALSE)</f>
        <v>CASERTA</v>
      </c>
      <c r="F149" t="str">
        <f>VLOOKUP($B149,'[1]DB PV ENI'!$A$4:$H$577,5,FALSE)</f>
        <v>MADDALONI</v>
      </c>
      <c r="G149" t="str">
        <f>VLOOKUP($B149,'[1]DB PV ENI'!$A$4:$H$577,6,FALSE)</f>
        <v>VIA NAZIONALE MONTEDECORO</v>
      </c>
      <c r="H149">
        <v>13</v>
      </c>
      <c r="I149" s="1">
        <v>6</v>
      </c>
      <c r="J149" s="1">
        <v>7</v>
      </c>
      <c r="K149" s="1">
        <v>4</v>
      </c>
      <c r="L149" s="4">
        <v>0.5714285714285714</v>
      </c>
    </row>
    <row r="150" spans="1:12" x14ac:dyDescent="0.15">
      <c r="A150" s="3" t="s">
        <v>12</v>
      </c>
      <c r="B150">
        <v>7049</v>
      </c>
      <c r="C150" t="str">
        <f>VLOOKUP($B150,'[1]DB PV ENI'!$A$4:$H$577,2,FALSE)</f>
        <v>CENTRO</v>
      </c>
      <c r="D150" t="str">
        <f>VLOOKUP($B150,'[1]DB PV ENI'!$A$4:$H$577,3,FALSE)</f>
        <v>LAZIO</v>
      </c>
      <c r="E150" t="str">
        <f>VLOOKUP($B150,'[1]DB PV ENI'!$A$4:$H$577,4,FALSE)</f>
        <v>ROMA</v>
      </c>
      <c r="F150" t="str">
        <f>VLOOKUP($B150,'[1]DB PV ENI'!$A$4:$H$577,5,FALSE)</f>
        <v>FRASCATI</v>
      </c>
      <c r="G150" t="str">
        <f>VLOOKUP($B150,'[1]DB PV ENI'!$A$4:$H$577,6,FALSE)</f>
        <v>VIA VITTORIO VENETO 34</v>
      </c>
      <c r="H150">
        <v>16</v>
      </c>
      <c r="I150" s="1">
        <v>4</v>
      </c>
      <c r="J150" s="1">
        <v>12</v>
      </c>
      <c r="K150" s="1">
        <v>3</v>
      </c>
      <c r="L150" s="4">
        <v>0.25</v>
      </c>
    </row>
    <row r="151" spans="1:12" x14ac:dyDescent="0.15">
      <c r="A151" s="3" t="s">
        <v>12</v>
      </c>
      <c r="B151">
        <v>7408</v>
      </c>
      <c r="C151" t="str">
        <f>VLOOKUP($B151,'[1]DB PV ENI'!$A$4:$H$577,2,FALSE)</f>
        <v>CENTRO</v>
      </c>
      <c r="D151" t="str">
        <f>VLOOKUP($B151,'[1]DB PV ENI'!$A$4:$H$577,3,FALSE)</f>
        <v>UMBRIA</v>
      </c>
      <c r="E151" t="str">
        <f>VLOOKUP($B151,'[1]DB PV ENI'!$A$4:$H$577,4,FALSE)</f>
        <v>TERNI</v>
      </c>
      <c r="F151" t="str">
        <f>VLOOKUP($B151,'[1]DB PV ENI'!$A$4:$H$577,5,FALSE)</f>
        <v>TERNI</v>
      </c>
      <c r="G151" t="str">
        <f>VLOOKUP($B151,'[1]DB PV ENI'!$A$4:$H$577,6,FALSE)</f>
        <v>BORGO BOVIO S.S. 3</v>
      </c>
      <c r="H151">
        <v>7</v>
      </c>
      <c r="I151" s="1">
        <v>4</v>
      </c>
      <c r="J151" s="1">
        <v>3</v>
      </c>
      <c r="K151" s="1">
        <v>3</v>
      </c>
      <c r="L151" s="4">
        <v>1</v>
      </c>
    </row>
    <row r="152" spans="1:12" x14ac:dyDescent="0.15">
      <c r="A152" s="3" t="s">
        <v>12</v>
      </c>
      <c r="B152">
        <v>14735</v>
      </c>
      <c r="C152" t="str">
        <f>VLOOKUP($B152,'[1]DB PV ENI'!$A$4:$H$577,2,FALSE)</f>
        <v>CENTRO</v>
      </c>
      <c r="D152" t="str">
        <f>VLOOKUP($B152,'[1]DB PV ENI'!$A$4:$H$577,3,FALSE)</f>
        <v>TOSCANA</v>
      </c>
      <c r="E152" t="str">
        <f>VLOOKUP($B152,'[1]DB PV ENI'!$A$4:$H$577,4,FALSE)</f>
        <v>FIRENZE</v>
      </c>
      <c r="F152" t="str">
        <f>VLOOKUP($B152,'[1]DB PV ENI'!$A$4:$H$577,5,FALSE)</f>
        <v>BORGO SAN LORENZO</v>
      </c>
      <c r="G152" t="str">
        <f>VLOOKUP($B152,'[1]DB PV ENI'!$A$4:$H$577,6,FALSE)</f>
        <v>VIA DELLA RESISTENZA</v>
      </c>
      <c r="H152">
        <v>20</v>
      </c>
      <c r="I152" s="1">
        <v>6</v>
      </c>
      <c r="J152" s="1">
        <v>14</v>
      </c>
      <c r="K152" s="1">
        <v>3</v>
      </c>
      <c r="L152" s="4">
        <v>0.21428571428571427</v>
      </c>
    </row>
    <row r="153" spans="1:12" x14ac:dyDescent="0.15">
      <c r="A153" s="3" t="s">
        <v>12</v>
      </c>
      <c r="B153">
        <v>16720</v>
      </c>
      <c r="C153" t="str">
        <f>VLOOKUP($B153,'[1]DB PV ENI'!$A$4:$H$577,2,FALSE)</f>
        <v>CENTRO</v>
      </c>
      <c r="D153" t="str">
        <f>VLOOKUP($B153,'[1]DB PV ENI'!$A$4:$H$577,3,FALSE)</f>
        <v>LAZIO</v>
      </c>
      <c r="E153" t="str">
        <f>VLOOKUP($B153,'[1]DB PV ENI'!$A$4:$H$577,4,FALSE)</f>
        <v>LATINA</v>
      </c>
      <c r="F153" t="str">
        <f>VLOOKUP($B153,'[1]DB PV ENI'!$A$4:$H$577,5,FALSE)</f>
        <v>APRILIA</v>
      </c>
      <c r="G153" t="str">
        <f>VLOOKUP($B153,'[1]DB PV ENI'!$A$4:$H$577,6,FALSE)</f>
        <v>SS NETTUNENSE KM 21</v>
      </c>
      <c r="H153">
        <v>11</v>
      </c>
      <c r="I153" s="1">
        <v>5</v>
      </c>
      <c r="J153" s="1">
        <v>6</v>
      </c>
      <c r="K153" s="1">
        <v>3</v>
      </c>
      <c r="L153" s="4">
        <v>0.5</v>
      </c>
    </row>
    <row r="154" spans="1:12" x14ac:dyDescent="0.15">
      <c r="A154" s="3" t="s">
        <v>12</v>
      </c>
      <c r="B154">
        <v>16968</v>
      </c>
      <c r="C154" t="str">
        <f>VLOOKUP($B154,'[1]DB PV ENI'!$A$4:$H$577,2,FALSE)</f>
        <v>CENTRO</v>
      </c>
      <c r="D154" t="str">
        <f>VLOOKUP($B154,'[1]DB PV ENI'!$A$4:$H$577,3,FALSE)</f>
        <v>LAZIO</v>
      </c>
      <c r="E154" t="str">
        <f>VLOOKUP($B154,'[1]DB PV ENI'!$A$4:$H$577,4,FALSE)</f>
        <v>ROMA</v>
      </c>
      <c r="F154" t="str">
        <f>VLOOKUP($B154,'[1]DB PV ENI'!$A$4:$H$577,5,FALSE)</f>
        <v>FIUMICINO</v>
      </c>
      <c r="G154" t="str">
        <f>VLOOKUP($B154,'[1]DB PV ENI'!$A$4:$H$577,6,FALSE)</f>
        <v>VIA PORTUENSE 2468</v>
      </c>
      <c r="H154">
        <v>24</v>
      </c>
      <c r="I154" s="1">
        <v>11</v>
      </c>
      <c r="J154" s="1">
        <v>13</v>
      </c>
      <c r="K154" s="1">
        <v>3</v>
      </c>
      <c r="L154" s="4">
        <v>0.23076923076923078</v>
      </c>
    </row>
    <row r="155" spans="1:12" x14ac:dyDescent="0.15">
      <c r="A155" s="3" t="s">
        <v>12</v>
      </c>
      <c r="B155">
        <v>34710</v>
      </c>
      <c r="C155" t="str">
        <f>VLOOKUP($B155,'[1]DB PV ENI'!$A$4:$H$577,2,FALSE)</f>
        <v>CENTRO</v>
      </c>
      <c r="D155" t="str">
        <f>VLOOKUP($B155,'[1]DB PV ENI'!$A$4:$H$577,3,FALSE)</f>
        <v>TOSCANA</v>
      </c>
      <c r="E155" t="str">
        <f>VLOOKUP($B155,'[1]DB PV ENI'!$A$4:$H$577,4,FALSE)</f>
        <v>FIRENZE</v>
      </c>
      <c r="F155" t="str">
        <f>VLOOKUP($B155,'[1]DB PV ENI'!$A$4:$H$577,5,FALSE)</f>
        <v>FIRENZE</v>
      </c>
      <c r="G155" t="str">
        <f>VLOOKUP($B155,'[1]DB PV ENI'!$A$4:$H$577,6,FALSE)</f>
        <v>VIA ENRICO DE NICOLA 47/A - 47/B</v>
      </c>
      <c r="H155">
        <v>23</v>
      </c>
      <c r="I155" s="1">
        <v>7</v>
      </c>
      <c r="J155" s="1">
        <v>16</v>
      </c>
      <c r="K155" s="1">
        <v>3</v>
      </c>
      <c r="L155" s="4">
        <v>0.1875</v>
      </c>
    </row>
    <row r="156" spans="1:12" x14ac:dyDescent="0.15">
      <c r="A156" s="3" t="s">
        <v>12</v>
      </c>
      <c r="B156">
        <v>55380</v>
      </c>
      <c r="C156" t="str">
        <f>VLOOKUP($B156,'[1]DB PV ENI'!$A$4:$H$577,2,FALSE)</f>
        <v>CENTRO</v>
      </c>
      <c r="D156" t="str">
        <f>VLOOKUP($B156,'[1]DB PV ENI'!$A$4:$H$577,3,FALSE)</f>
        <v>TOSCANA</v>
      </c>
      <c r="E156" t="str">
        <f>VLOOKUP($B156,'[1]DB PV ENI'!$A$4:$H$577,4,FALSE)</f>
        <v>FIRENZE</v>
      </c>
      <c r="F156" t="str">
        <f>VLOOKUP($B156,'[1]DB PV ENI'!$A$4:$H$577,5,FALSE)</f>
        <v>MONTELUPO FIORENTINO</v>
      </c>
      <c r="G156" t="str">
        <f>VLOOKUP($B156,'[1]DB PV ENI'!$A$4:$H$577,6,FALSE)</f>
        <v>VIA TOSCO ROMAGNOLO SUD 36 - LOC. FIBBIANA</v>
      </c>
      <c r="H156">
        <v>14</v>
      </c>
      <c r="I156" s="1">
        <v>3</v>
      </c>
      <c r="J156" s="1">
        <v>11</v>
      </c>
      <c r="K156" s="1">
        <v>3</v>
      </c>
      <c r="L156" s="4">
        <v>0.27272727272727271</v>
      </c>
    </row>
    <row r="157" spans="1:12" x14ac:dyDescent="0.15">
      <c r="A157" s="3" t="s">
        <v>12</v>
      </c>
      <c r="B157">
        <v>55416</v>
      </c>
      <c r="C157" t="str">
        <f>VLOOKUP($B157,'[1]DB PV ENI'!$A$4:$H$577,2,FALSE)</f>
        <v>CENTRO</v>
      </c>
      <c r="D157" t="str">
        <f>VLOOKUP($B157,'[1]DB PV ENI'!$A$4:$H$577,3,FALSE)</f>
        <v>TOSCANA</v>
      </c>
      <c r="E157" t="str">
        <f>VLOOKUP($B157,'[1]DB PV ENI'!$A$4:$H$577,4,FALSE)</f>
        <v>PISTOIA</v>
      </c>
      <c r="F157" t="str">
        <f>VLOOKUP($B157,'[1]DB PV ENI'!$A$4:$H$577,5,FALSE)</f>
        <v>MONSUMMANO TERME</v>
      </c>
      <c r="G157" t="str">
        <f>VLOOKUP($B157,'[1]DB PV ENI'!$A$4:$H$577,6,FALSE)</f>
        <v>DELLA COSTITUZIONE, 138</v>
      </c>
      <c r="H157">
        <v>15</v>
      </c>
      <c r="I157" s="1">
        <v>5</v>
      </c>
      <c r="J157" s="1">
        <v>10</v>
      </c>
      <c r="K157" s="1">
        <v>3</v>
      </c>
      <c r="L157" s="4">
        <v>0.3</v>
      </c>
    </row>
    <row r="158" spans="1:12" x14ac:dyDescent="0.15">
      <c r="A158" s="3" t="s">
        <v>12</v>
      </c>
      <c r="B158">
        <v>3743</v>
      </c>
      <c r="C158" t="str">
        <f>VLOOKUP($B158,'[1]DB PV ENI'!$A$4:$H$577,2,FALSE)</f>
        <v>NORD EST</v>
      </c>
      <c r="D158" t="str">
        <f>VLOOKUP($B158,'[1]DB PV ENI'!$A$4:$H$577,3,FALSE)</f>
        <v>VENETO</v>
      </c>
      <c r="E158" t="str">
        <f>VLOOKUP($B158,'[1]DB PV ENI'!$A$4:$H$577,4,FALSE)</f>
        <v>VENEZIA</v>
      </c>
      <c r="F158" t="str">
        <f>VLOOKUP($B158,'[1]DB PV ENI'!$A$4:$H$577,5,FALSE)</f>
        <v>VENEZIA</v>
      </c>
      <c r="G158" t="str">
        <f>VLOOKUP($B158,'[1]DB PV ENI'!$A$4:$H$577,6,FALSE)</f>
        <v>VIA ORLANDA 6A</v>
      </c>
      <c r="H158">
        <v>13</v>
      </c>
      <c r="I158" s="1">
        <v>5</v>
      </c>
      <c r="J158" s="1">
        <v>8</v>
      </c>
      <c r="K158" s="1">
        <v>3</v>
      </c>
      <c r="L158" s="4">
        <v>0.375</v>
      </c>
    </row>
    <row r="159" spans="1:12" x14ac:dyDescent="0.15">
      <c r="A159" s="3" t="s">
        <v>12</v>
      </c>
      <c r="B159">
        <v>3775</v>
      </c>
      <c r="C159" t="str">
        <f>VLOOKUP($B159,'[1]DB PV ENI'!$A$4:$H$577,2,FALSE)</f>
        <v>NORD EST</v>
      </c>
      <c r="D159" t="str">
        <f>VLOOKUP($B159,'[1]DB PV ENI'!$A$4:$H$577,3,FALSE)</f>
        <v>VENETO</v>
      </c>
      <c r="E159" t="str">
        <f>VLOOKUP($B159,'[1]DB PV ENI'!$A$4:$H$577,4,FALSE)</f>
        <v>VERONA</v>
      </c>
      <c r="F159" t="str">
        <f>VLOOKUP($B159,'[1]DB PV ENI'!$A$4:$H$577,5,FALSE)</f>
        <v>SAN GIOVANNI LUPATOTO</v>
      </c>
      <c r="G159" t="str">
        <f>VLOOKUP($B159,'[1]DB PV ENI'!$A$4:$H$577,6,FALSE)</f>
        <v>VIA GAROFOLI N. 270</v>
      </c>
      <c r="H159">
        <v>6</v>
      </c>
      <c r="I159" s="1">
        <v>3</v>
      </c>
      <c r="J159" s="1">
        <v>3</v>
      </c>
      <c r="K159" s="1">
        <v>3</v>
      </c>
      <c r="L159" s="4">
        <v>1</v>
      </c>
    </row>
    <row r="160" spans="1:12" x14ac:dyDescent="0.15">
      <c r="A160" s="3" t="s">
        <v>12</v>
      </c>
      <c r="B160">
        <v>3851</v>
      </c>
      <c r="C160" t="str">
        <f>VLOOKUP($B160,'[1]DB PV ENI'!$A$4:$H$577,2,FALSE)</f>
        <v>NORD EST</v>
      </c>
      <c r="D160" t="str">
        <f>VLOOKUP($B160,'[1]DB PV ENI'!$A$4:$H$577,3,FALSE)</f>
        <v>VENETO</v>
      </c>
      <c r="E160" t="str">
        <f>VLOOKUP($B160,'[1]DB PV ENI'!$A$4:$H$577,4,FALSE)</f>
        <v>VERONA</v>
      </c>
      <c r="F160" t="str">
        <f>VLOOKUP($B160,'[1]DB PV ENI'!$A$4:$H$577,5,FALSE)</f>
        <v>VERONA</v>
      </c>
      <c r="G160" t="str">
        <f>VLOOKUP($B160,'[1]DB PV ENI'!$A$4:$H$577,6,FALSE)</f>
        <v>VIA G.MAMELI 160/F</v>
      </c>
      <c r="H160">
        <v>12</v>
      </c>
      <c r="I160" s="1">
        <v>4</v>
      </c>
      <c r="J160" s="1">
        <v>8</v>
      </c>
      <c r="K160" s="1">
        <v>3</v>
      </c>
      <c r="L160" s="4">
        <v>0.375</v>
      </c>
    </row>
    <row r="161" spans="1:12" x14ac:dyDescent="0.15">
      <c r="A161" s="3" t="s">
        <v>12</v>
      </c>
      <c r="B161">
        <v>5514</v>
      </c>
      <c r="C161" t="str">
        <f>VLOOKUP($B161,'[1]DB PV ENI'!$A$4:$H$577,2,FALSE)</f>
        <v>NORD EST</v>
      </c>
      <c r="D161" t="str">
        <f>VLOOKUP($B161,'[1]DB PV ENI'!$A$4:$H$577,3,FALSE)</f>
        <v>EMILIA-ROMAGNA</v>
      </c>
      <c r="E161" t="str">
        <f>VLOOKUP($B161,'[1]DB PV ENI'!$A$4:$H$577,4,FALSE)</f>
        <v>BOLOGNA</v>
      </c>
      <c r="F161" t="str">
        <f>VLOOKUP($B161,'[1]DB PV ENI'!$A$4:$H$577,5,FALSE)</f>
        <v>SAN GIOVANNI IN PERSICETO</v>
      </c>
      <c r="G161" t="str">
        <f>VLOOKUP($B161,'[1]DB PV ENI'!$A$4:$H$577,6,FALSE)</f>
        <v>VIA BOLOGNA 13</v>
      </c>
      <c r="H161">
        <v>26</v>
      </c>
      <c r="I161" s="1">
        <v>8</v>
      </c>
      <c r="J161" s="1">
        <v>18</v>
      </c>
      <c r="K161" s="1">
        <v>3</v>
      </c>
      <c r="L161" s="4">
        <v>0.16666666666666666</v>
      </c>
    </row>
    <row r="162" spans="1:12" x14ac:dyDescent="0.15">
      <c r="A162" s="3" t="s">
        <v>12</v>
      </c>
      <c r="B162">
        <v>5820</v>
      </c>
      <c r="C162" t="str">
        <f>VLOOKUP($B162,'[1]DB PV ENI'!$A$4:$H$577,2,FALSE)</f>
        <v>NORD EST</v>
      </c>
      <c r="D162" t="str">
        <f>VLOOKUP($B162,'[1]DB PV ENI'!$A$4:$H$577,3,FALSE)</f>
        <v>EMILIA-ROMAGNA</v>
      </c>
      <c r="E162" t="str">
        <f>VLOOKUP($B162,'[1]DB PV ENI'!$A$4:$H$577,4,FALSE)</f>
        <v>FERRARA</v>
      </c>
      <c r="F162" t="str">
        <f>VLOOKUP($B162,'[1]DB PV ENI'!$A$4:$H$577,5,FALSE)</f>
        <v>FERRARA</v>
      </c>
      <c r="G162" t="str">
        <f>VLOOKUP($B162,'[1]DB PV ENI'!$A$4:$H$577,6,FALSE)</f>
        <v>VIA BOLOGNA 632</v>
      </c>
      <c r="H162">
        <v>34</v>
      </c>
      <c r="I162" s="1">
        <v>13</v>
      </c>
      <c r="J162" s="1">
        <v>21</v>
      </c>
      <c r="K162" s="1">
        <v>3</v>
      </c>
      <c r="L162" s="4">
        <v>0.14285714285714285</v>
      </c>
    </row>
    <row r="163" spans="1:12" x14ac:dyDescent="0.15">
      <c r="A163" s="3" t="s">
        <v>12</v>
      </c>
      <c r="B163">
        <v>6446</v>
      </c>
      <c r="C163" t="str">
        <f>VLOOKUP($B163,'[1]DB PV ENI'!$A$4:$H$577,2,FALSE)</f>
        <v>NORD EST</v>
      </c>
      <c r="D163" t="str">
        <f>VLOOKUP($B163,'[1]DB PV ENI'!$A$4:$H$577,3,FALSE)</f>
        <v>EMILIA-ROMAGNA</v>
      </c>
      <c r="E163" t="str">
        <f>VLOOKUP($B163,'[1]DB PV ENI'!$A$4:$H$577,4,FALSE)</f>
        <v>REGGIO EMILIA</v>
      </c>
      <c r="F163" t="str">
        <f>VLOOKUP($B163,'[1]DB PV ENI'!$A$4:$H$577,5,FALSE)</f>
        <v>REGGIO NELL'EMILIA</v>
      </c>
      <c r="G163" t="str">
        <f>VLOOKUP($B163,'[1]DB PV ENI'!$A$4:$H$577,6,FALSE)</f>
        <v>VIA GORIZIA, 25</v>
      </c>
      <c r="H163">
        <v>8</v>
      </c>
      <c r="I163" s="1">
        <v>4</v>
      </c>
      <c r="J163" s="1">
        <v>4</v>
      </c>
      <c r="K163" s="1">
        <v>3</v>
      </c>
      <c r="L163" s="4">
        <v>0.75</v>
      </c>
    </row>
    <row r="164" spans="1:12" x14ac:dyDescent="0.15">
      <c r="A164" s="3" t="s">
        <v>12</v>
      </c>
      <c r="B164">
        <v>7287</v>
      </c>
      <c r="C164" t="str">
        <f>VLOOKUP($B164,'[1]DB PV ENI'!$A$4:$H$577,2,FALSE)</f>
        <v>NORD EST</v>
      </c>
      <c r="D164" t="str">
        <f>VLOOKUP($B164,'[1]DB PV ENI'!$A$4:$H$577,3,FALSE)</f>
        <v>MARCHE</v>
      </c>
      <c r="E164" t="str">
        <f>VLOOKUP($B164,'[1]DB PV ENI'!$A$4:$H$577,4,FALSE)</f>
        <v>ASCOLI PICENO</v>
      </c>
      <c r="F164" t="str">
        <f>VLOOKUP($B164,'[1]DB PV ENI'!$A$4:$H$577,5,FALSE)</f>
        <v>SAN BENEDETTO DEL TRONTO</v>
      </c>
      <c r="G164" t="str">
        <f>VLOOKUP($B164,'[1]DB PV ENI'!$A$4:$H$577,6,FALSE)</f>
        <v>VIA DELLA LIBERAZIONE SNC</v>
      </c>
      <c r="H164">
        <v>8</v>
      </c>
      <c r="I164" s="1">
        <v>3</v>
      </c>
      <c r="J164" s="1">
        <v>5</v>
      </c>
      <c r="K164" s="1">
        <v>3</v>
      </c>
      <c r="L164" s="4">
        <v>0.6</v>
      </c>
    </row>
    <row r="165" spans="1:12" x14ac:dyDescent="0.15">
      <c r="A165" s="3" t="s">
        <v>12</v>
      </c>
      <c r="B165">
        <v>14289</v>
      </c>
      <c r="C165" t="str">
        <f>VLOOKUP($B165,'[1]DB PV ENI'!$A$4:$H$577,2,FALSE)</f>
        <v>NORD EST</v>
      </c>
      <c r="D165" t="str">
        <f>VLOOKUP($B165,'[1]DB PV ENI'!$A$4:$H$577,3,FALSE)</f>
        <v>FRIULI VENEZIA GIULIA</v>
      </c>
      <c r="E165" t="str">
        <f>VLOOKUP($B165,'[1]DB PV ENI'!$A$4:$H$577,4,FALSE)</f>
        <v>UDINE</v>
      </c>
      <c r="F165" t="str">
        <f>VLOOKUP($B165,'[1]DB PV ENI'!$A$4:$H$577,5,FALSE)</f>
        <v>SAN DANIELE DEL FRIULI</v>
      </c>
      <c r="G165" t="str">
        <f>VLOOKUP($B165,'[1]DB PV ENI'!$A$4:$H$577,6,FALSE)</f>
        <v>VIA VENEZIA, 89/91</v>
      </c>
      <c r="H165">
        <v>6</v>
      </c>
      <c r="I165" s="1">
        <v>3</v>
      </c>
      <c r="J165" s="1">
        <v>3</v>
      </c>
      <c r="K165" s="1">
        <v>3</v>
      </c>
      <c r="L165" s="4">
        <v>1</v>
      </c>
    </row>
    <row r="166" spans="1:12" x14ac:dyDescent="0.15">
      <c r="A166" s="3" t="s">
        <v>12</v>
      </c>
      <c r="B166">
        <v>14290</v>
      </c>
      <c r="C166" t="str">
        <f>VLOOKUP($B166,'[1]DB PV ENI'!$A$4:$H$577,2,FALSE)</f>
        <v>NORD EST</v>
      </c>
      <c r="D166" t="str">
        <f>VLOOKUP($B166,'[1]DB PV ENI'!$A$4:$H$577,3,FALSE)</f>
        <v>FRIULI VENEZIA GIULIA</v>
      </c>
      <c r="E166" t="str">
        <f>VLOOKUP($B166,'[1]DB PV ENI'!$A$4:$H$577,4,FALSE)</f>
        <v>PORDENONE</v>
      </c>
      <c r="F166" t="str">
        <f>VLOOKUP($B166,'[1]DB PV ENI'!$A$4:$H$577,5,FALSE)</f>
        <v>PORDENONE</v>
      </c>
      <c r="G166" t="str">
        <f>VLOOKUP($B166,'[1]DB PV ENI'!$A$4:$H$577,6,FALSE)</f>
        <v>VIALE VENEZIA 46</v>
      </c>
      <c r="H166">
        <v>23</v>
      </c>
      <c r="I166" s="1">
        <v>7</v>
      </c>
      <c r="J166" s="1">
        <v>16</v>
      </c>
      <c r="K166" s="1">
        <v>3</v>
      </c>
      <c r="L166" s="4">
        <v>0.1875</v>
      </c>
    </row>
    <row r="167" spans="1:12" x14ac:dyDescent="0.15">
      <c r="A167" s="3" t="s">
        <v>12</v>
      </c>
      <c r="B167">
        <v>15621</v>
      </c>
      <c r="C167" t="str">
        <f>VLOOKUP($B167,'[1]DB PV ENI'!$A$4:$H$577,2,FALSE)</f>
        <v>NORD EST</v>
      </c>
      <c r="D167" t="str">
        <f>VLOOKUP($B167,'[1]DB PV ENI'!$A$4:$H$577,3,FALSE)</f>
        <v>EMILIA-ROMAGNA</v>
      </c>
      <c r="E167" t="str">
        <f>VLOOKUP($B167,'[1]DB PV ENI'!$A$4:$H$577,4,FALSE)</f>
        <v>RAVENNA</v>
      </c>
      <c r="F167" t="str">
        <f>VLOOKUP($B167,'[1]DB PV ENI'!$A$4:$H$577,5,FALSE)</f>
        <v>RAVENNA</v>
      </c>
      <c r="G167" t="str">
        <f>VLOOKUP($B167,'[1]DB PV ENI'!$A$4:$H$577,6,FALSE)</f>
        <v>TRIESTE 0290</v>
      </c>
      <c r="H167">
        <v>6</v>
      </c>
      <c r="I167" s="1">
        <v>3</v>
      </c>
      <c r="J167" s="1">
        <v>3</v>
      </c>
      <c r="K167" s="1">
        <v>3</v>
      </c>
      <c r="L167" s="4">
        <v>1</v>
      </c>
    </row>
    <row r="168" spans="1:12" x14ac:dyDescent="0.15">
      <c r="A168" s="3" t="s">
        <v>12</v>
      </c>
      <c r="B168">
        <v>23964</v>
      </c>
      <c r="C168" t="str">
        <f>VLOOKUP($B168,'[1]DB PV ENI'!$A$4:$H$577,2,FALSE)</f>
        <v>NORD EST</v>
      </c>
      <c r="D168" t="str">
        <f>VLOOKUP($B168,'[1]DB PV ENI'!$A$4:$H$577,3,FALSE)</f>
        <v>VENETO</v>
      </c>
      <c r="E168" t="str">
        <f>VLOOKUP($B168,'[1]DB PV ENI'!$A$4:$H$577,4,FALSE)</f>
        <v>VICENZA</v>
      </c>
      <c r="F168" t="str">
        <f>VLOOKUP($B168,'[1]DB PV ENI'!$A$4:$H$577,5,FALSE)</f>
        <v>SAN VITO DI LEGUZZANO</v>
      </c>
      <c r="G168" t="str">
        <f>VLOOKUP($B168,'[1]DB PV ENI'!$A$4:$H$577,6,FALSE)</f>
        <v>VIA MARTIRI DELLA LIBERTA 43</v>
      </c>
      <c r="H168">
        <v>7</v>
      </c>
      <c r="I168" s="1">
        <v>3</v>
      </c>
      <c r="J168" s="1">
        <v>4</v>
      </c>
      <c r="K168" s="1">
        <v>3</v>
      </c>
      <c r="L168" s="4">
        <v>0.75</v>
      </c>
    </row>
    <row r="169" spans="1:12" x14ac:dyDescent="0.15">
      <c r="A169" s="3" t="s">
        <v>12</v>
      </c>
      <c r="B169">
        <v>23973</v>
      </c>
      <c r="C169" t="str">
        <f>VLOOKUP($B169,'[1]DB PV ENI'!$A$4:$H$577,2,FALSE)</f>
        <v>NORD EST</v>
      </c>
      <c r="D169" t="str">
        <f>VLOOKUP($B169,'[1]DB PV ENI'!$A$4:$H$577,3,FALSE)</f>
        <v>VENETO</v>
      </c>
      <c r="E169" t="str">
        <f>VLOOKUP($B169,'[1]DB PV ENI'!$A$4:$H$577,4,FALSE)</f>
        <v>VICENZA</v>
      </c>
      <c r="F169" t="str">
        <f>VLOOKUP($B169,'[1]DB PV ENI'!$A$4:$H$577,5,FALSE)</f>
        <v>MUSSOLENTE</v>
      </c>
      <c r="G169" t="str">
        <f>VLOOKUP($B169,'[1]DB PV ENI'!$A$4:$H$577,6,FALSE)</f>
        <v>VIA DANTE ALIGHIERI 47</v>
      </c>
      <c r="H169">
        <v>6</v>
      </c>
      <c r="I169" s="1">
        <v>3</v>
      </c>
      <c r="J169" s="1">
        <v>3</v>
      </c>
      <c r="K169" s="1">
        <v>3</v>
      </c>
      <c r="L169" s="4">
        <v>1</v>
      </c>
    </row>
    <row r="170" spans="1:12" x14ac:dyDescent="0.15">
      <c r="A170" s="3" t="s">
        <v>12</v>
      </c>
      <c r="B170">
        <v>51887</v>
      </c>
      <c r="C170" t="str">
        <f>VLOOKUP($B170,'[1]DB PV ENI'!$A$4:$H$577,2,FALSE)</f>
        <v>NORD EST</v>
      </c>
      <c r="D170" t="str">
        <f>VLOOKUP($B170,'[1]DB PV ENI'!$A$4:$H$577,3,FALSE)</f>
        <v>MARCHE</v>
      </c>
      <c r="E170" t="str">
        <f>VLOOKUP($B170,'[1]DB PV ENI'!$A$4:$H$577,4,FALSE)</f>
        <v>FERMO</v>
      </c>
      <c r="F170" t="str">
        <f>VLOOKUP($B170,'[1]DB PV ENI'!$A$4:$H$577,5,FALSE)</f>
        <v>FERMO</v>
      </c>
      <c r="G170" t="str">
        <f>VLOOKUP($B170,'[1]DB PV ENI'!$A$4:$H$577,6,FALSE)</f>
        <v>VIA SALVO D'ACQUISTO 121</v>
      </c>
      <c r="H170">
        <v>14</v>
      </c>
      <c r="I170" s="1">
        <v>7</v>
      </c>
      <c r="J170" s="1">
        <v>7</v>
      </c>
      <c r="K170" s="1">
        <v>3</v>
      </c>
      <c r="L170" s="4">
        <v>0.42857142857142855</v>
      </c>
    </row>
    <row r="171" spans="1:12" x14ac:dyDescent="0.15">
      <c r="A171" s="3" t="s">
        <v>12</v>
      </c>
      <c r="B171">
        <v>494</v>
      </c>
      <c r="C171" t="str">
        <f>VLOOKUP($B171,'[1]DB PV ENI'!$A$4:$H$577,2,FALSE)</f>
        <v>NORD OVEST</v>
      </c>
      <c r="D171" t="str">
        <f>VLOOKUP($B171,'[1]DB PV ENI'!$A$4:$H$577,3,FALSE)</f>
        <v>PIEMONTE</v>
      </c>
      <c r="E171" t="str">
        <f>VLOOKUP($B171,'[1]DB PV ENI'!$A$4:$H$577,4,FALSE)</f>
        <v>NOVARA</v>
      </c>
      <c r="F171" t="str">
        <f>VLOOKUP($B171,'[1]DB PV ENI'!$A$4:$H$577,5,FALSE)</f>
        <v>CAMERI</v>
      </c>
      <c r="G171" t="str">
        <f>VLOOKUP($B171,'[1]DB PV ENI'!$A$4:$H$577,6,FALSE)</f>
        <v>VIALE MARCONI 64</v>
      </c>
      <c r="H171">
        <v>8</v>
      </c>
      <c r="I171" s="1">
        <v>4</v>
      </c>
      <c r="J171" s="1">
        <v>4</v>
      </c>
      <c r="K171" s="1">
        <v>3</v>
      </c>
      <c r="L171" s="4">
        <v>0.75</v>
      </c>
    </row>
    <row r="172" spans="1:12" x14ac:dyDescent="0.15">
      <c r="A172" s="3" t="s">
        <v>12</v>
      </c>
      <c r="B172">
        <v>585</v>
      </c>
      <c r="C172" t="str">
        <f>VLOOKUP($B172,'[1]DB PV ENI'!$A$4:$H$577,2,FALSE)</f>
        <v>NORD OVEST</v>
      </c>
      <c r="D172" t="str">
        <f>VLOOKUP($B172,'[1]DB PV ENI'!$A$4:$H$577,3,FALSE)</f>
        <v>PIEMONTE</v>
      </c>
      <c r="E172" t="str">
        <f>VLOOKUP($B172,'[1]DB PV ENI'!$A$4:$H$577,4,FALSE)</f>
        <v>TORINO</v>
      </c>
      <c r="F172" t="str">
        <f>VLOOKUP($B172,'[1]DB PV ENI'!$A$4:$H$577,5,FALSE)</f>
        <v>TORINO</v>
      </c>
      <c r="G172" t="str">
        <f>VLOOKUP($B172,'[1]DB PV ENI'!$A$4:$H$577,6,FALSE)</f>
        <v>CSO UNIONE SOVIETICA 614/A</v>
      </c>
      <c r="H172">
        <v>10</v>
      </c>
      <c r="I172" s="1">
        <v>4</v>
      </c>
      <c r="J172" s="1">
        <v>6</v>
      </c>
      <c r="K172" s="1">
        <v>3</v>
      </c>
      <c r="L172" s="4">
        <v>0.5</v>
      </c>
    </row>
    <row r="173" spans="1:12" x14ac:dyDescent="0.15">
      <c r="A173" s="3" t="s">
        <v>12</v>
      </c>
      <c r="B173">
        <v>1032</v>
      </c>
      <c r="C173" t="str">
        <f>VLOOKUP($B173,'[1]DB PV ENI'!$A$4:$H$577,2,FALSE)</f>
        <v>NORD OVEST</v>
      </c>
      <c r="D173" t="str">
        <f>VLOOKUP($B173,'[1]DB PV ENI'!$A$4:$H$577,3,FALSE)</f>
        <v>LIGURIA</v>
      </c>
      <c r="E173" t="str">
        <f>VLOOKUP($B173,'[1]DB PV ENI'!$A$4:$H$577,4,FALSE)</f>
        <v>GENOVA</v>
      </c>
      <c r="F173" t="str">
        <f>VLOOKUP($B173,'[1]DB PV ENI'!$A$4:$H$577,5,FALSE)</f>
        <v>GENOVA</v>
      </c>
      <c r="G173" t="str">
        <f>VLOOKUP($B173,'[1]DB PV ENI'!$A$4:$H$577,6,FALSE)</f>
        <v>VIA BRIGATE PARTIGIANE, 1/R</v>
      </c>
      <c r="H173">
        <v>41</v>
      </c>
      <c r="I173" s="1">
        <v>17</v>
      </c>
      <c r="J173" s="1">
        <v>24</v>
      </c>
      <c r="K173" s="1">
        <v>3</v>
      </c>
      <c r="L173" s="4">
        <v>0.125</v>
      </c>
    </row>
    <row r="174" spans="1:12" x14ac:dyDescent="0.15">
      <c r="A174" s="3" t="s">
        <v>12</v>
      </c>
      <c r="B174">
        <v>1034</v>
      </c>
      <c r="C174" t="str">
        <f>VLOOKUP($B174,'[1]DB PV ENI'!$A$4:$H$577,2,FALSE)</f>
        <v>NORD OVEST</v>
      </c>
      <c r="D174" t="str">
        <f>VLOOKUP($B174,'[1]DB PV ENI'!$A$4:$H$577,3,FALSE)</f>
        <v>LIGURIA</v>
      </c>
      <c r="E174" t="str">
        <f>VLOOKUP($B174,'[1]DB PV ENI'!$A$4:$H$577,4,FALSE)</f>
        <v>GENOVA</v>
      </c>
      <c r="F174" t="str">
        <f>VLOOKUP($B174,'[1]DB PV ENI'!$A$4:$H$577,5,FALSE)</f>
        <v>GENOVA</v>
      </c>
      <c r="G174" t="str">
        <f>VLOOKUP($B174,'[1]DB PV ENI'!$A$4:$H$577,6,FALSE)</f>
        <v>LUNGOBISAGNO D'ISTRIA</v>
      </c>
      <c r="H174">
        <v>13</v>
      </c>
      <c r="I174" s="1">
        <v>5</v>
      </c>
      <c r="J174" s="1">
        <v>8</v>
      </c>
      <c r="K174" s="1">
        <v>3</v>
      </c>
      <c r="L174" s="4">
        <v>0.375</v>
      </c>
    </row>
    <row r="175" spans="1:12" x14ac:dyDescent="0.15">
      <c r="A175" s="3" t="s">
        <v>12</v>
      </c>
      <c r="B175">
        <v>2275</v>
      </c>
      <c r="C175" t="str">
        <f>VLOOKUP($B175,'[1]DB PV ENI'!$A$4:$H$577,2,FALSE)</f>
        <v>NORD OVEST</v>
      </c>
      <c r="D175" t="str">
        <f>VLOOKUP($B175,'[1]DB PV ENI'!$A$4:$H$577,3,FALSE)</f>
        <v>LOMBARDIA</v>
      </c>
      <c r="E175" t="str">
        <f>VLOOKUP($B175,'[1]DB PV ENI'!$A$4:$H$577,4,FALSE)</f>
        <v>LODI</v>
      </c>
      <c r="F175" t="str">
        <f>VLOOKUP($B175,'[1]DB PV ENI'!$A$4:$H$577,5,FALSE)</f>
        <v>SANT'ANGELO LODIGIANO</v>
      </c>
      <c r="G175" t="str">
        <f>VLOOKUP($B175,'[1]DB PV ENI'!$A$4:$H$577,6,FALSE)</f>
        <v>TRIESTE ANG.GARIBALDI</v>
      </c>
      <c r="H175">
        <v>13</v>
      </c>
      <c r="I175" s="1">
        <v>4</v>
      </c>
      <c r="J175" s="1">
        <v>9</v>
      </c>
      <c r="K175" s="1">
        <v>3</v>
      </c>
      <c r="L175" s="4">
        <v>0.33333333333333331</v>
      </c>
    </row>
    <row r="176" spans="1:12" x14ac:dyDescent="0.15">
      <c r="A176" s="3" t="s">
        <v>12</v>
      </c>
      <c r="B176">
        <v>2400</v>
      </c>
      <c r="C176" t="str">
        <f>VLOOKUP($B176,'[1]DB PV ENI'!$A$4:$H$577,2,FALSE)</f>
        <v>NORD OVEST</v>
      </c>
      <c r="D176" t="str">
        <f>VLOOKUP($B176,'[1]DB PV ENI'!$A$4:$H$577,3,FALSE)</f>
        <v>LOMBARDIA</v>
      </c>
      <c r="E176" t="str">
        <f>VLOOKUP($B176,'[1]DB PV ENI'!$A$4:$H$577,4,FALSE)</f>
        <v>MILANO</v>
      </c>
      <c r="F176" t="str">
        <f>VLOOKUP($B176,'[1]DB PV ENI'!$A$4:$H$577,5,FALSE)</f>
        <v>RHO</v>
      </c>
      <c r="G176" t="str">
        <f>VLOOKUP($B176,'[1]DB PV ENI'!$A$4:$H$577,6,FALSE)</f>
        <v>PACE</v>
      </c>
      <c r="H176">
        <v>11</v>
      </c>
      <c r="I176" s="1">
        <v>7</v>
      </c>
      <c r="J176" s="1">
        <v>4</v>
      </c>
      <c r="K176" s="1">
        <v>3</v>
      </c>
      <c r="L176" s="4">
        <v>0.75</v>
      </c>
    </row>
    <row r="177" spans="1:12" x14ac:dyDescent="0.15">
      <c r="A177" s="3" t="s">
        <v>12</v>
      </c>
      <c r="B177">
        <v>2872</v>
      </c>
      <c r="C177" t="str">
        <f>VLOOKUP($B177,'[1]DB PV ENI'!$A$4:$H$577,2,FALSE)</f>
        <v>NORD OVEST</v>
      </c>
      <c r="D177" t="str">
        <f>VLOOKUP($B177,'[1]DB PV ENI'!$A$4:$H$577,3,FALSE)</f>
        <v>LOMBARDIA</v>
      </c>
      <c r="E177" t="str">
        <f>VLOOKUP($B177,'[1]DB PV ENI'!$A$4:$H$577,4,FALSE)</f>
        <v>VARESE</v>
      </c>
      <c r="F177" t="str">
        <f>VLOOKUP($B177,'[1]DB PV ENI'!$A$4:$H$577,5,FALSE)</f>
        <v>LONATE POZZOLO</v>
      </c>
      <c r="G177" t="str">
        <f>VLOOKUP($B177,'[1]DB PV ENI'!$A$4:$H$577,6,FALSE)</f>
        <v>S.S.527 KM 45 664</v>
      </c>
      <c r="H177">
        <v>13</v>
      </c>
      <c r="I177" s="1">
        <v>4</v>
      </c>
      <c r="J177" s="1">
        <v>9</v>
      </c>
      <c r="K177" s="1">
        <v>3</v>
      </c>
      <c r="L177" s="4">
        <v>0.33333333333333331</v>
      </c>
    </row>
    <row r="178" spans="1:12" x14ac:dyDescent="0.15">
      <c r="A178" s="3" t="s">
        <v>12</v>
      </c>
      <c r="B178">
        <v>11418</v>
      </c>
      <c r="C178" t="str">
        <f>VLOOKUP($B178,'[1]DB PV ENI'!$A$4:$H$577,2,FALSE)</f>
        <v>NORD OVEST</v>
      </c>
      <c r="D178" t="str">
        <f>VLOOKUP($B178,'[1]DB PV ENI'!$A$4:$H$577,3,FALSE)</f>
        <v>PIEMONTE</v>
      </c>
      <c r="E178" t="str">
        <f>VLOOKUP($B178,'[1]DB PV ENI'!$A$4:$H$577,4,FALSE)</f>
        <v>ASTI</v>
      </c>
      <c r="F178" t="str">
        <f>VLOOKUP($B178,'[1]DB PV ENI'!$A$4:$H$577,5,FALSE)</f>
        <v>ASTI</v>
      </c>
      <c r="G178" t="str">
        <f>VLOOKUP($B178,'[1]DB PV ENI'!$A$4:$H$577,6,FALSE)</f>
        <v>CORSO ALESSANDRIA 494</v>
      </c>
      <c r="H178">
        <v>29</v>
      </c>
      <c r="I178" s="1">
        <v>7</v>
      </c>
      <c r="J178" s="1">
        <v>22</v>
      </c>
      <c r="K178" s="1">
        <v>3</v>
      </c>
      <c r="L178" s="4">
        <v>0.13636363636363635</v>
      </c>
    </row>
    <row r="179" spans="1:12" x14ac:dyDescent="0.15">
      <c r="A179" s="3" t="s">
        <v>12</v>
      </c>
      <c r="B179">
        <v>11745</v>
      </c>
      <c r="C179" t="str">
        <f>VLOOKUP($B179,'[1]DB PV ENI'!$A$4:$H$577,2,FALSE)</f>
        <v>NORD OVEST</v>
      </c>
      <c r="D179" t="str">
        <f>VLOOKUP($B179,'[1]DB PV ENI'!$A$4:$H$577,3,FALSE)</f>
        <v>LOMBARDIA</v>
      </c>
      <c r="E179" t="str">
        <f>VLOOKUP($B179,'[1]DB PV ENI'!$A$4:$H$577,4,FALSE)</f>
        <v>BRESCIA</v>
      </c>
      <c r="F179" t="str">
        <f>VLOOKUP($B179,'[1]DB PV ENI'!$A$4:$H$577,5,FALSE)</f>
        <v>BRESCIA</v>
      </c>
      <c r="G179" t="str">
        <f>VLOOKUP($B179,'[1]DB PV ENI'!$A$4:$H$577,6,FALSE)</f>
        <v>VIA MONTELUNGO, 10  - TANG. OVEST PALAZZOLI</v>
      </c>
      <c r="H179">
        <v>46</v>
      </c>
      <c r="I179" s="1">
        <v>17</v>
      </c>
      <c r="J179" s="1">
        <v>29</v>
      </c>
      <c r="K179" s="1">
        <v>3</v>
      </c>
      <c r="L179" s="4">
        <v>0.10344827586206896</v>
      </c>
    </row>
    <row r="180" spans="1:12" x14ac:dyDescent="0.15">
      <c r="A180" s="3" t="s">
        <v>12</v>
      </c>
      <c r="B180">
        <v>12160</v>
      </c>
      <c r="C180" t="str">
        <f>VLOOKUP($B180,'[1]DB PV ENI'!$A$4:$H$577,2,FALSE)</f>
        <v>NORD OVEST</v>
      </c>
      <c r="D180" t="str">
        <f>VLOOKUP($B180,'[1]DB PV ENI'!$A$4:$H$577,3,FALSE)</f>
        <v>LOMBARDIA</v>
      </c>
      <c r="E180" t="str">
        <f>VLOOKUP($B180,'[1]DB PV ENI'!$A$4:$H$577,4,FALSE)</f>
        <v>MILANO</v>
      </c>
      <c r="F180" t="str">
        <f>VLOOKUP($B180,'[1]DB PV ENI'!$A$4:$H$577,5,FALSE)</f>
        <v>PESCHIERA BORROMEO</v>
      </c>
      <c r="G180" t="str">
        <f>VLOOKUP($B180,'[1]DB PV ENI'!$A$4:$H$577,6,FALSE)</f>
        <v>VIA DI VITTORIO, 14</v>
      </c>
      <c r="H180">
        <v>10</v>
      </c>
      <c r="I180" s="1">
        <v>4</v>
      </c>
      <c r="J180" s="1">
        <v>6</v>
      </c>
      <c r="K180" s="1">
        <v>3</v>
      </c>
      <c r="L180" s="4">
        <v>0.5</v>
      </c>
    </row>
    <row r="181" spans="1:12" x14ac:dyDescent="0.15">
      <c r="A181" s="3" t="s">
        <v>12</v>
      </c>
      <c r="B181">
        <v>12442</v>
      </c>
      <c r="C181" t="str">
        <f>VLOOKUP($B181,'[1]DB PV ENI'!$A$4:$H$577,2,FALSE)</f>
        <v>NORD OVEST</v>
      </c>
      <c r="D181" t="str">
        <f>VLOOKUP($B181,'[1]DB PV ENI'!$A$4:$H$577,3,FALSE)</f>
        <v>LOMBARDIA</v>
      </c>
      <c r="E181" t="str">
        <f>VLOOKUP($B181,'[1]DB PV ENI'!$A$4:$H$577,4,FALSE)</f>
        <v>MILANO</v>
      </c>
      <c r="F181" t="str">
        <f>VLOOKUP($B181,'[1]DB PV ENI'!$A$4:$H$577,5,FALSE)</f>
        <v>SAN GIULIANO MILANESE</v>
      </c>
      <c r="G181" t="str">
        <f>VLOOKUP($B181,'[1]DB PV ENI'!$A$4:$H$577,6,FALSE)</f>
        <v>VIALE LOMBARDIA 2 ANGOLO VIA VOLTURNO</v>
      </c>
      <c r="H181">
        <v>16</v>
      </c>
      <c r="I181" s="1">
        <v>5</v>
      </c>
      <c r="J181" s="1">
        <v>11</v>
      </c>
      <c r="K181" s="1">
        <v>3</v>
      </c>
      <c r="L181" s="4">
        <v>0.27272727272727271</v>
      </c>
    </row>
    <row r="182" spans="1:12" x14ac:dyDescent="0.15">
      <c r="A182" s="3" t="s">
        <v>12</v>
      </c>
      <c r="B182">
        <v>51668</v>
      </c>
      <c r="C182" t="str">
        <f>VLOOKUP($B182,'[1]DB PV ENI'!$A$4:$H$577,2,FALSE)</f>
        <v>NORD OVEST</v>
      </c>
      <c r="D182" t="str">
        <f>VLOOKUP($B182,'[1]DB PV ENI'!$A$4:$H$577,3,FALSE)</f>
        <v>LOMBARDIA</v>
      </c>
      <c r="E182" t="str">
        <f>VLOOKUP($B182,'[1]DB PV ENI'!$A$4:$H$577,4,FALSE)</f>
        <v>LODI</v>
      </c>
      <c r="F182" t="str">
        <f>VLOOKUP($B182,'[1]DB PV ENI'!$A$4:$H$577,5,FALSE)</f>
        <v>LODI</v>
      </c>
      <c r="G182" t="str">
        <f>VLOOKUP($B182,'[1]DB PV ENI'!$A$4:$H$577,6,FALSE)</f>
        <v>VL EUROPA</v>
      </c>
      <c r="H182">
        <v>22</v>
      </c>
      <c r="I182" s="1">
        <v>9</v>
      </c>
      <c r="J182" s="1">
        <v>13</v>
      </c>
      <c r="K182" s="1">
        <v>3</v>
      </c>
      <c r="L182" s="4">
        <v>0.23076923076923078</v>
      </c>
    </row>
    <row r="183" spans="1:12" x14ac:dyDescent="0.15">
      <c r="A183" s="3" t="s">
        <v>12</v>
      </c>
      <c r="B183">
        <v>55473</v>
      </c>
      <c r="C183" t="str">
        <f>VLOOKUP($B183,'[1]DB PV ENI'!$A$4:$H$577,2,FALSE)</f>
        <v>NORD OVEST</v>
      </c>
      <c r="D183" t="str">
        <f>VLOOKUP($B183,'[1]DB PV ENI'!$A$4:$H$577,3,FALSE)</f>
        <v>PIEMONTE</v>
      </c>
      <c r="E183" t="str">
        <f>VLOOKUP($B183,'[1]DB PV ENI'!$A$4:$H$577,4,FALSE)</f>
        <v>NOVARA</v>
      </c>
      <c r="F183" t="str">
        <f>VLOOKUP($B183,'[1]DB PV ENI'!$A$4:$H$577,5,FALSE)</f>
        <v>NOVARA</v>
      </c>
      <c r="G183" t="str">
        <f>VLOOKUP($B183,'[1]DB PV ENI'!$A$4:$H$577,6,FALSE)</f>
        <v>VIA MONTEROSA 6</v>
      </c>
      <c r="H183">
        <v>8</v>
      </c>
      <c r="I183" s="1">
        <v>4</v>
      </c>
      <c r="J183" s="1">
        <v>4</v>
      </c>
      <c r="K183" s="1">
        <v>3</v>
      </c>
      <c r="L183" s="4">
        <v>0.75</v>
      </c>
    </row>
    <row r="184" spans="1:12" x14ac:dyDescent="0.15">
      <c r="A184" s="3" t="s">
        <v>12</v>
      </c>
      <c r="B184">
        <v>8013</v>
      </c>
      <c r="C184" t="str">
        <f>VLOOKUP($B184,'[1]DB PV ENI'!$A$4:$H$577,2,FALSE)</f>
        <v>SUD</v>
      </c>
      <c r="D184" t="str">
        <f>VLOOKUP($B184,'[1]DB PV ENI'!$A$4:$H$577,3,FALSE)</f>
        <v>CAMPANIA</v>
      </c>
      <c r="E184" t="str">
        <f>VLOOKUP($B184,'[1]DB PV ENI'!$A$4:$H$577,4,FALSE)</f>
        <v>NAPOLI</v>
      </c>
      <c r="F184" t="str">
        <f>VLOOKUP($B184,'[1]DB PV ENI'!$A$4:$H$577,5,FALSE)</f>
        <v>ACERRA</v>
      </c>
      <c r="G184" t="str">
        <f>VLOOKUP($B184,'[1]DB PV ENI'!$A$4:$H$577,6,FALSE)</f>
        <v>CORSO ITALIA  SNC</v>
      </c>
      <c r="H184">
        <v>7</v>
      </c>
      <c r="I184" s="1">
        <v>3</v>
      </c>
      <c r="J184" s="1">
        <v>4</v>
      </c>
      <c r="K184" s="1">
        <v>3</v>
      </c>
      <c r="L184" s="4">
        <v>0.75</v>
      </c>
    </row>
    <row r="185" spans="1:12" x14ac:dyDescent="0.15">
      <c r="A185" s="3" t="s">
        <v>12</v>
      </c>
      <c r="B185">
        <v>8194</v>
      </c>
      <c r="C185" t="str">
        <f>VLOOKUP($B185,'[1]DB PV ENI'!$A$4:$H$577,2,FALSE)</f>
        <v>SUD</v>
      </c>
      <c r="D185" t="str">
        <f>VLOOKUP($B185,'[1]DB PV ENI'!$A$4:$H$577,3,FALSE)</f>
        <v>CAMPANIA</v>
      </c>
      <c r="E185" t="str">
        <f>VLOOKUP($B185,'[1]DB PV ENI'!$A$4:$H$577,4,FALSE)</f>
        <v>NAPOLI</v>
      </c>
      <c r="F185" t="str">
        <f>VLOOKUP($B185,'[1]DB PV ENI'!$A$4:$H$577,5,FALSE)</f>
        <v>POMPEI</v>
      </c>
      <c r="G185" t="str">
        <f>VLOOKUP($B185,'[1]DB PV ENI'!$A$4:$H$577,6,FALSE)</f>
        <v>VIA PLINIO </v>
      </c>
      <c r="H185">
        <v>20</v>
      </c>
      <c r="I185" s="1">
        <v>6</v>
      </c>
      <c r="J185" s="1">
        <v>14</v>
      </c>
      <c r="K185" s="1">
        <v>3</v>
      </c>
      <c r="L185" s="4">
        <v>0.21428571428571427</v>
      </c>
    </row>
    <row r="186" spans="1:12" x14ac:dyDescent="0.15">
      <c r="A186" s="3" t="s">
        <v>12</v>
      </c>
      <c r="B186">
        <v>9237</v>
      </c>
      <c r="C186" t="str">
        <f>VLOOKUP($B186,'[1]DB PV ENI'!$A$4:$H$577,2,FALSE)</f>
        <v>SUD</v>
      </c>
      <c r="D186" t="str">
        <f>VLOOKUP($B186,'[1]DB PV ENI'!$A$4:$H$577,3,FALSE)</f>
        <v>PUGLIA</v>
      </c>
      <c r="E186" t="str">
        <f>VLOOKUP($B186,'[1]DB PV ENI'!$A$4:$H$577,4,FALSE)</f>
        <v>FOGGIA</v>
      </c>
      <c r="F186" t="str">
        <f>VLOOKUP($B186,'[1]DB PV ENI'!$A$4:$H$577,5,FALSE)</f>
        <v>SAN SEVERO</v>
      </c>
      <c r="G186" t="str">
        <f>VLOOKUP($B186,'[1]DB PV ENI'!$A$4:$H$577,6,FALSE)</f>
        <v>VIA GIUSTINO FORTUNATO SNC</v>
      </c>
      <c r="H186">
        <v>7</v>
      </c>
      <c r="I186" s="1">
        <v>3</v>
      </c>
      <c r="J186" s="1">
        <v>4</v>
      </c>
      <c r="K186" s="1">
        <v>3</v>
      </c>
      <c r="L186" s="4">
        <v>0.75</v>
      </c>
    </row>
    <row r="187" spans="1:12" x14ac:dyDescent="0.15">
      <c r="A187" s="3" t="s">
        <v>12</v>
      </c>
      <c r="B187">
        <v>53274</v>
      </c>
      <c r="C187" t="str">
        <f>VLOOKUP($B187,'[1]DB PV ENI'!$A$4:$H$577,2,FALSE)</f>
        <v>SUD</v>
      </c>
      <c r="D187" t="str">
        <f>VLOOKUP($B187,'[1]DB PV ENI'!$A$4:$H$577,3,FALSE)</f>
        <v>CAMPANIA</v>
      </c>
      <c r="E187" t="str">
        <f>VLOOKUP($B187,'[1]DB PV ENI'!$A$4:$H$577,4,FALSE)</f>
        <v>SALERNO</v>
      </c>
      <c r="F187" t="str">
        <f>VLOOKUP($B187,'[1]DB PV ENI'!$A$4:$H$577,5,FALSE)</f>
        <v>SALERNO</v>
      </c>
      <c r="G187" t="str">
        <f>VLOOKUP($B187,'[1]DB PV ENI'!$A$4:$H$577,6,FALSE)</f>
        <v>VIA MEDAGLIE D'ORO</v>
      </c>
      <c r="H187">
        <v>31</v>
      </c>
      <c r="I187" s="1">
        <v>13</v>
      </c>
      <c r="J187" s="1">
        <v>18</v>
      </c>
      <c r="K187" s="1">
        <v>3</v>
      </c>
      <c r="L187" s="4">
        <v>0.16666666666666666</v>
      </c>
    </row>
    <row r="188" spans="1:12" x14ac:dyDescent="0.15">
      <c r="A188" s="3" t="s">
        <v>12</v>
      </c>
      <c r="B188">
        <v>55063</v>
      </c>
      <c r="C188" t="str">
        <f>VLOOKUP($B188,'[1]DB PV ENI'!$A$4:$H$577,2,FALSE)</f>
        <v>SUD</v>
      </c>
      <c r="D188" t="str">
        <f>VLOOKUP($B188,'[1]DB PV ENI'!$A$4:$H$577,3,FALSE)</f>
        <v>SICILIA</v>
      </c>
      <c r="E188" t="str">
        <f>VLOOKUP($B188,'[1]DB PV ENI'!$A$4:$H$577,4,FALSE)</f>
        <v>CATANIA</v>
      </c>
      <c r="F188" t="str">
        <f>VLOOKUP($B188,'[1]DB PV ENI'!$A$4:$H$577,5,FALSE)</f>
        <v>GIARRE</v>
      </c>
      <c r="G188" t="str">
        <f>VLOOKUP($B188,'[1]DB PV ENI'!$A$4:$H$577,6,FALSE)</f>
        <v>PROVINCIALE MACCHIA DI GIARRE</v>
      </c>
      <c r="H188">
        <v>17</v>
      </c>
      <c r="I188" s="1">
        <v>7</v>
      </c>
      <c r="J188" s="1">
        <v>10</v>
      </c>
      <c r="K188" s="1">
        <v>3</v>
      </c>
      <c r="L188" s="4">
        <v>0.3</v>
      </c>
    </row>
    <row r="189" spans="1:12" x14ac:dyDescent="0.15">
      <c r="A189" s="3" t="s">
        <v>12</v>
      </c>
      <c r="B189">
        <v>4601</v>
      </c>
      <c r="C189" t="str">
        <f>VLOOKUP($B189,'[1]DB PV ENI'!$A$4:$H$577,2,FALSE)</f>
        <v>CENTRO</v>
      </c>
      <c r="D189" t="str">
        <f>VLOOKUP($B189,'[1]DB PV ENI'!$A$4:$H$577,3,FALSE)</f>
        <v>TOSCANA</v>
      </c>
      <c r="E189" t="str">
        <f>VLOOKUP($B189,'[1]DB PV ENI'!$A$4:$H$577,4,FALSE)</f>
        <v>AREZZO</v>
      </c>
      <c r="F189" t="str">
        <f>VLOOKUP($B189,'[1]DB PV ENI'!$A$4:$H$577,5,FALSE)</f>
        <v>AREZZO</v>
      </c>
      <c r="G189" t="str">
        <f>VLOOKUP($B189,'[1]DB PV ENI'!$A$4:$H$577,6,FALSE)</f>
        <v>SS71 KM141+597 S.ANASTASIO LOC.OLMO</v>
      </c>
      <c r="H189">
        <v>8</v>
      </c>
      <c r="I189" s="1">
        <v>4</v>
      </c>
      <c r="J189" s="1">
        <v>4</v>
      </c>
      <c r="K189" s="1">
        <v>2</v>
      </c>
      <c r="L189" s="4">
        <v>0.5</v>
      </c>
    </row>
    <row r="190" spans="1:12" x14ac:dyDescent="0.15">
      <c r="A190" s="3" t="s">
        <v>12</v>
      </c>
      <c r="B190">
        <v>4892</v>
      </c>
      <c r="C190" t="str">
        <f>VLOOKUP($B190,'[1]DB PV ENI'!$A$4:$H$577,2,FALSE)</f>
        <v>CENTRO</v>
      </c>
      <c r="D190" t="str">
        <f>VLOOKUP($B190,'[1]DB PV ENI'!$A$4:$H$577,3,FALSE)</f>
        <v>TOSCANA</v>
      </c>
      <c r="E190" t="str">
        <f>VLOOKUP($B190,'[1]DB PV ENI'!$A$4:$H$577,4,FALSE)</f>
        <v>FIRENZE</v>
      </c>
      <c r="F190" t="str">
        <f>VLOOKUP($B190,'[1]DB PV ENI'!$A$4:$H$577,5,FALSE)</f>
        <v>FIRENZE</v>
      </c>
      <c r="G190" t="str">
        <f>VLOOKUP($B190,'[1]DB PV ENI'!$A$4:$H$577,6,FALSE)</f>
        <v>VIA SESTESE, 97/99</v>
      </c>
      <c r="H190">
        <v>10</v>
      </c>
      <c r="I190" s="1">
        <v>6</v>
      </c>
      <c r="J190" s="1">
        <v>4</v>
      </c>
      <c r="K190" s="1">
        <v>2</v>
      </c>
      <c r="L190" s="4">
        <v>0.5</v>
      </c>
    </row>
    <row r="191" spans="1:12" x14ac:dyDescent="0.15">
      <c r="A191" s="3" t="s">
        <v>12</v>
      </c>
      <c r="B191">
        <v>5408</v>
      </c>
      <c r="C191" t="str">
        <f>VLOOKUP($B191,'[1]DB PV ENI'!$A$4:$H$577,2,FALSE)</f>
        <v>CENTRO</v>
      </c>
      <c r="D191" t="str">
        <f>VLOOKUP($B191,'[1]DB PV ENI'!$A$4:$H$577,3,FALSE)</f>
        <v>TOSCANA</v>
      </c>
      <c r="E191" t="str">
        <f>VLOOKUP($B191,'[1]DB PV ENI'!$A$4:$H$577,4,FALSE)</f>
        <v>SIENA</v>
      </c>
      <c r="F191" t="str">
        <f>VLOOKUP($B191,'[1]DB PV ENI'!$A$4:$H$577,5,FALSE)</f>
        <v>CHIUSI</v>
      </c>
      <c r="G191" t="str">
        <f>VLOOKUP($B191,'[1]DB PV ENI'!$A$4:$H$577,6,FALSE)</f>
        <v>S.S. 146 - KM. 2+180 SNC</v>
      </c>
      <c r="H191">
        <v>5</v>
      </c>
      <c r="I191" s="1">
        <v>2</v>
      </c>
      <c r="J191" s="1">
        <v>3</v>
      </c>
      <c r="K191" s="1">
        <v>2</v>
      </c>
      <c r="L191" s="4">
        <v>0.66666666666666663</v>
      </c>
    </row>
    <row r="192" spans="1:12" x14ac:dyDescent="0.15">
      <c r="A192" s="3" t="s">
        <v>12</v>
      </c>
      <c r="B192">
        <v>6607</v>
      </c>
      <c r="C192" t="str">
        <f>VLOOKUP($B192,'[1]DB PV ENI'!$A$4:$H$577,2,FALSE)</f>
        <v>CENTRO</v>
      </c>
      <c r="D192" t="str">
        <f>VLOOKUP($B192,'[1]DB PV ENI'!$A$4:$H$577,3,FALSE)</f>
        <v>ABRUZZO</v>
      </c>
      <c r="E192" t="str">
        <f>VLOOKUP($B192,'[1]DB PV ENI'!$A$4:$H$577,4,FALSE)</f>
        <v>CHIETI</v>
      </c>
      <c r="F192" t="str">
        <f>VLOOKUP($B192,'[1]DB PV ENI'!$A$4:$H$577,5,FALSE)</f>
        <v>SAN SALVO</v>
      </c>
      <c r="G192" t="str">
        <f>VLOOKUP($B192,'[1]DB PV ENI'!$A$4:$H$577,6,FALSE)</f>
        <v>FRAZ-MARINELLE</v>
      </c>
      <c r="H192">
        <v>6</v>
      </c>
      <c r="I192" s="1">
        <v>2</v>
      </c>
      <c r="J192" s="1">
        <v>4</v>
      </c>
      <c r="K192" s="1">
        <v>2</v>
      </c>
      <c r="L192" s="4">
        <v>0.5</v>
      </c>
    </row>
    <row r="193" spans="1:12" x14ac:dyDescent="0.15">
      <c r="A193" s="3" t="s">
        <v>12</v>
      </c>
      <c r="B193">
        <v>6622</v>
      </c>
      <c r="C193" t="str">
        <f>VLOOKUP($B193,'[1]DB PV ENI'!$A$4:$H$577,2,FALSE)</f>
        <v>CENTRO</v>
      </c>
      <c r="D193" t="str">
        <f>VLOOKUP($B193,'[1]DB PV ENI'!$A$4:$H$577,3,FALSE)</f>
        <v>LAZIO</v>
      </c>
      <c r="E193" t="str">
        <f>VLOOKUP($B193,'[1]DB PV ENI'!$A$4:$H$577,4,FALSE)</f>
        <v>FROSINONE</v>
      </c>
      <c r="F193" t="str">
        <f>VLOOKUP($B193,'[1]DB PV ENI'!$A$4:$H$577,5,FALSE)</f>
        <v>CEPRANO</v>
      </c>
      <c r="G193" t="str">
        <f>VLOOKUP($B193,'[1]DB PV ENI'!$A$4:$H$577,6,FALSE)</f>
        <v>VIA CASILINA KM 104+320</v>
      </c>
      <c r="H193">
        <v>12</v>
      </c>
      <c r="I193" s="1">
        <v>3</v>
      </c>
      <c r="J193" s="1">
        <v>9</v>
      </c>
      <c r="K193" s="1">
        <v>2</v>
      </c>
      <c r="L193" s="4">
        <v>0.22222222222222221</v>
      </c>
    </row>
    <row r="194" spans="1:12" x14ac:dyDescent="0.15">
      <c r="A194" s="3" t="s">
        <v>12</v>
      </c>
      <c r="B194">
        <v>7473</v>
      </c>
      <c r="C194" t="str">
        <f>VLOOKUP($B194,'[1]DB PV ENI'!$A$4:$H$577,2,FALSE)</f>
        <v>CENTRO</v>
      </c>
      <c r="D194" t="str">
        <f>VLOOKUP($B194,'[1]DB PV ENI'!$A$4:$H$577,3,FALSE)</f>
        <v>LAZIO</v>
      </c>
      <c r="E194" t="str">
        <f>VLOOKUP($B194,'[1]DB PV ENI'!$A$4:$H$577,4,FALSE)</f>
        <v>VITERBO</v>
      </c>
      <c r="F194" t="str">
        <f>VLOOKUP($B194,'[1]DB PV ENI'!$A$4:$H$577,5,FALSE)</f>
        <v>MONTEFIASCONE</v>
      </c>
      <c r="G194" t="str">
        <f>VLOOKUP($B194,'[1]DB PV ENI'!$A$4:$H$577,6,FALSE)</f>
        <v>SS 2 CASSIA KM 97+800</v>
      </c>
      <c r="H194">
        <v>18</v>
      </c>
      <c r="I194" s="1">
        <v>7</v>
      </c>
      <c r="J194" s="1">
        <v>11</v>
      </c>
      <c r="K194" s="1">
        <v>2</v>
      </c>
      <c r="L194" s="4">
        <v>0.18181818181818182</v>
      </c>
    </row>
    <row r="195" spans="1:12" x14ac:dyDescent="0.15">
      <c r="A195" s="3" t="s">
        <v>12</v>
      </c>
      <c r="B195">
        <v>16949</v>
      </c>
      <c r="C195" t="str">
        <f>VLOOKUP($B195,'[1]DB PV ENI'!$A$4:$H$577,2,FALSE)</f>
        <v>CENTRO</v>
      </c>
      <c r="D195" t="str">
        <f>VLOOKUP($B195,'[1]DB PV ENI'!$A$4:$H$577,3,FALSE)</f>
        <v>LAZIO</v>
      </c>
      <c r="E195" t="str">
        <f>VLOOKUP($B195,'[1]DB PV ENI'!$A$4:$H$577,4,FALSE)</f>
        <v>ROMA</v>
      </c>
      <c r="F195" t="str">
        <f>VLOOKUP($B195,'[1]DB PV ENI'!$A$4:$H$577,5,FALSE)</f>
        <v>ROMA</v>
      </c>
      <c r="G195" t="str">
        <f>VLOOKUP($B195,'[1]DB PV ENI'!$A$4:$H$577,6,FALSE)</f>
        <v>VIA DI PONTE GALERIA  SNC - VIA DI PONTE GALERIA SNC</v>
      </c>
      <c r="H195">
        <v>6</v>
      </c>
      <c r="I195" s="1">
        <v>3</v>
      </c>
      <c r="J195" s="1">
        <v>3</v>
      </c>
      <c r="K195" s="1">
        <v>2</v>
      </c>
      <c r="L195" s="4">
        <v>0.66666666666666663</v>
      </c>
    </row>
    <row r="196" spans="1:12" x14ac:dyDescent="0.15">
      <c r="A196" s="3" t="s">
        <v>12</v>
      </c>
      <c r="B196">
        <v>34723</v>
      </c>
      <c r="C196" t="str">
        <f>VLOOKUP($B196,'[1]DB PV ENI'!$A$4:$H$577,2,FALSE)</f>
        <v>CENTRO</v>
      </c>
      <c r="D196" t="str">
        <f>VLOOKUP($B196,'[1]DB PV ENI'!$A$4:$H$577,3,FALSE)</f>
        <v>TOSCANA</v>
      </c>
      <c r="E196" t="str">
        <f>VLOOKUP($B196,'[1]DB PV ENI'!$A$4:$H$577,4,FALSE)</f>
        <v>FIRENZE</v>
      </c>
      <c r="F196" t="str">
        <f>VLOOKUP($B196,'[1]DB PV ENI'!$A$4:$H$577,5,FALSE)</f>
        <v>FIRENZE</v>
      </c>
      <c r="G196" t="str">
        <f>VLOOKUP($B196,'[1]DB PV ENI'!$A$4:$H$577,6,FALSE)</f>
        <v>VIALE NENNI 19 -21</v>
      </c>
      <c r="H196">
        <v>15</v>
      </c>
      <c r="I196" s="1">
        <v>6</v>
      </c>
      <c r="J196" s="1">
        <v>9</v>
      </c>
      <c r="K196" s="1">
        <v>2</v>
      </c>
      <c r="L196" s="4">
        <v>0.22222222222222221</v>
      </c>
    </row>
    <row r="197" spans="1:12" x14ac:dyDescent="0.15">
      <c r="A197" s="3" t="s">
        <v>12</v>
      </c>
      <c r="B197">
        <v>53676</v>
      </c>
      <c r="C197" t="str">
        <f>VLOOKUP($B197,'[1]DB PV ENI'!$A$4:$H$577,2,FALSE)</f>
        <v>CENTRO</v>
      </c>
      <c r="D197" t="str">
        <f>VLOOKUP($B197,'[1]DB PV ENI'!$A$4:$H$577,3,FALSE)</f>
        <v>TOSCANA</v>
      </c>
      <c r="E197" t="str">
        <f>VLOOKUP($B197,'[1]DB PV ENI'!$A$4:$H$577,4,FALSE)</f>
        <v>LIVORNO</v>
      </c>
      <c r="F197" t="str">
        <f>VLOOKUP($B197,'[1]DB PV ENI'!$A$4:$H$577,5,FALSE)</f>
        <v>PIOMBINO</v>
      </c>
      <c r="G197" t="str">
        <f>VLOOKUP($B197,'[1]DB PV ENI'!$A$4:$H$577,6,FALSE)</f>
        <v>VIALE UNITA' D'ITALIA 121</v>
      </c>
      <c r="H197">
        <v>8</v>
      </c>
      <c r="I197" s="1">
        <v>4</v>
      </c>
      <c r="J197" s="1">
        <v>4</v>
      </c>
      <c r="K197" s="1">
        <v>2</v>
      </c>
      <c r="L197" s="4">
        <v>0.5</v>
      </c>
    </row>
    <row r="198" spans="1:12" x14ac:dyDescent="0.15">
      <c r="A198" s="3" t="s">
        <v>12</v>
      </c>
      <c r="B198">
        <v>54396</v>
      </c>
      <c r="C198" t="str">
        <f>VLOOKUP($B198,'[1]DB PV ENI'!$A$4:$H$577,2,FALSE)</f>
        <v>CENTRO</v>
      </c>
      <c r="D198" t="str">
        <f>VLOOKUP($B198,'[1]DB PV ENI'!$A$4:$H$577,3,FALSE)</f>
        <v>ABRUZZO</v>
      </c>
      <c r="E198" t="str">
        <f>VLOOKUP($B198,'[1]DB PV ENI'!$A$4:$H$577,4,FALSE)</f>
        <v>CHIETI</v>
      </c>
      <c r="F198" t="str">
        <f>VLOOKUP($B198,'[1]DB PV ENI'!$A$4:$H$577,5,FALSE)</f>
        <v>CHIETI</v>
      </c>
      <c r="G198" t="str">
        <f>VLOOKUP($B198,'[1]DB PV ENI'!$A$4:$H$577,6,FALSE)</f>
        <v>V.LE B.CROCE 270B LOC.CHIETI SCALO</v>
      </c>
      <c r="H198">
        <v>13</v>
      </c>
      <c r="I198" s="1">
        <v>3</v>
      </c>
      <c r="J198" s="1">
        <v>10</v>
      </c>
      <c r="K198" s="1">
        <v>2</v>
      </c>
      <c r="L198" s="4">
        <v>0.2</v>
      </c>
    </row>
    <row r="199" spans="1:12" x14ac:dyDescent="0.15">
      <c r="A199" s="3" t="s">
        <v>12</v>
      </c>
      <c r="B199">
        <v>54638</v>
      </c>
      <c r="C199" t="str">
        <f>VLOOKUP($B199,'[1]DB PV ENI'!$A$4:$H$577,2,FALSE)</f>
        <v>CENTRO</v>
      </c>
      <c r="D199" t="str">
        <f>VLOOKUP($B199,'[1]DB PV ENI'!$A$4:$H$577,3,FALSE)</f>
        <v>LAZIO</v>
      </c>
      <c r="E199" t="str">
        <f>VLOOKUP($B199,'[1]DB PV ENI'!$A$4:$H$577,4,FALSE)</f>
        <v>VITERBO</v>
      </c>
      <c r="F199" t="str">
        <f>VLOOKUP($B199,'[1]DB PV ENI'!$A$4:$H$577,5,FALSE)</f>
        <v>VITERBO</v>
      </c>
      <c r="G199" t="str">
        <f>VLOOKUP($B199,'[1]DB PV ENI'!$A$4:$H$577,6,FALSE)</f>
        <v>TANGENZIALE OVEST N 15</v>
      </c>
      <c r="H199">
        <v>7</v>
      </c>
      <c r="I199" s="1">
        <v>2</v>
      </c>
      <c r="J199" s="1">
        <v>5</v>
      </c>
      <c r="K199" s="1">
        <v>2</v>
      </c>
      <c r="L199" s="4">
        <v>0.4</v>
      </c>
    </row>
    <row r="200" spans="1:12" x14ac:dyDescent="0.15">
      <c r="A200" s="3" t="s">
        <v>12</v>
      </c>
      <c r="B200">
        <v>3632</v>
      </c>
      <c r="C200" t="str">
        <f>VLOOKUP($B200,'[1]DB PV ENI'!$A$4:$H$577,2,FALSE)</f>
        <v>NORD EST</v>
      </c>
      <c r="D200" t="str">
        <f>VLOOKUP($B200,'[1]DB PV ENI'!$A$4:$H$577,3,FALSE)</f>
        <v>VENETO</v>
      </c>
      <c r="E200" t="str">
        <f>VLOOKUP($B200,'[1]DB PV ENI'!$A$4:$H$577,4,FALSE)</f>
        <v>TREVISO</v>
      </c>
      <c r="F200" t="str">
        <f>VLOOKUP($B200,'[1]DB PV ENI'!$A$4:$H$577,5,FALSE)</f>
        <v>CONEGLIANO</v>
      </c>
      <c r="G200" t="str">
        <f>VLOOKUP($B200,'[1]DB PV ENI'!$A$4:$H$577,6,FALSE)</f>
        <v>VIA VENEZIA 88</v>
      </c>
      <c r="H200">
        <v>22</v>
      </c>
      <c r="I200" s="1">
        <v>6</v>
      </c>
      <c r="J200" s="1">
        <v>16</v>
      </c>
      <c r="K200" s="1">
        <v>2</v>
      </c>
      <c r="L200" s="4">
        <v>0.125</v>
      </c>
    </row>
    <row r="201" spans="1:12" x14ac:dyDescent="0.15">
      <c r="A201" s="3" t="s">
        <v>12</v>
      </c>
      <c r="B201">
        <v>3734</v>
      </c>
      <c r="C201" t="str">
        <f>VLOOKUP($B201,'[1]DB PV ENI'!$A$4:$H$577,2,FALSE)</f>
        <v>NORD EST</v>
      </c>
      <c r="D201" t="str">
        <f>VLOOKUP($B201,'[1]DB PV ENI'!$A$4:$H$577,3,FALSE)</f>
        <v>VENETO</v>
      </c>
      <c r="E201" t="str">
        <f>VLOOKUP($B201,'[1]DB PV ENI'!$A$4:$H$577,4,FALSE)</f>
        <v>VENEZIA</v>
      </c>
      <c r="F201" t="str">
        <f>VLOOKUP($B201,'[1]DB PV ENI'!$A$4:$H$577,5,FALSE)</f>
        <v>MUSILE DI PIAVE</v>
      </c>
      <c r="G201" t="str">
        <f>VLOOKUP($B201,'[1]DB PV ENI'!$A$4:$H$577,6,FALSE)</f>
        <v>VIALE MARCONI 48</v>
      </c>
      <c r="H201">
        <v>7</v>
      </c>
      <c r="I201" s="1">
        <v>2</v>
      </c>
      <c r="J201" s="1">
        <v>5</v>
      </c>
      <c r="K201" s="1">
        <v>2</v>
      </c>
      <c r="L201" s="4">
        <v>0.4</v>
      </c>
    </row>
    <row r="202" spans="1:12" x14ac:dyDescent="0.15">
      <c r="A202" s="3" t="s">
        <v>12</v>
      </c>
      <c r="B202">
        <v>5530</v>
      </c>
      <c r="C202" t="str">
        <f>VLOOKUP($B202,'[1]DB PV ENI'!$A$4:$H$577,2,FALSE)</f>
        <v>NORD EST</v>
      </c>
      <c r="D202" t="str">
        <f>VLOOKUP($B202,'[1]DB PV ENI'!$A$4:$H$577,3,FALSE)</f>
        <v>EMILIA-ROMAGNA</v>
      </c>
      <c r="E202" t="str">
        <f>VLOOKUP($B202,'[1]DB PV ENI'!$A$4:$H$577,4,FALSE)</f>
        <v>BOLOGNA</v>
      </c>
      <c r="F202" t="str">
        <f>VLOOKUP($B202,'[1]DB PV ENI'!$A$4:$H$577,5,FALSE)</f>
        <v>BOLOGNA</v>
      </c>
      <c r="G202" t="str">
        <f>VLOOKUP($B202,'[1]DB PV ENI'!$A$4:$H$577,6,FALSE)</f>
        <v>VIA MASSARENTI, 221/3</v>
      </c>
      <c r="H202">
        <v>9</v>
      </c>
      <c r="I202" s="1">
        <v>3</v>
      </c>
      <c r="J202" s="1">
        <v>6</v>
      </c>
      <c r="K202" s="1">
        <v>2</v>
      </c>
      <c r="L202" s="4">
        <v>0.33333333333333331</v>
      </c>
    </row>
    <row r="203" spans="1:12" x14ac:dyDescent="0.15">
      <c r="A203" s="3" t="s">
        <v>12</v>
      </c>
      <c r="B203">
        <v>5635</v>
      </c>
      <c r="C203" t="str">
        <f>VLOOKUP($B203,'[1]DB PV ENI'!$A$4:$H$577,2,FALSE)</f>
        <v>NORD EST</v>
      </c>
      <c r="D203" t="str">
        <f>VLOOKUP($B203,'[1]DB PV ENI'!$A$4:$H$577,3,FALSE)</f>
        <v>EMILIA-ROMAGNA</v>
      </c>
      <c r="E203" t="str">
        <f>VLOOKUP($B203,'[1]DB PV ENI'!$A$4:$H$577,4,FALSE)</f>
        <v>RAVENNA</v>
      </c>
      <c r="F203" t="str">
        <f>VLOOKUP($B203,'[1]DB PV ENI'!$A$4:$H$577,5,FALSE)</f>
        <v>RAVENNA</v>
      </c>
      <c r="G203" t="str">
        <f>VLOOKUP($B203,'[1]DB PV ENI'!$A$4:$H$577,6,FALSE)</f>
        <v>VIA ROMEA NORD 102</v>
      </c>
      <c r="H203">
        <v>17</v>
      </c>
      <c r="I203" s="1">
        <v>5</v>
      </c>
      <c r="J203" s="1">
        <v>12</v>
      </c>
      <c r="K203" s="1">
        <v>2</v>
      </c>
      <c r="L203" s="4">
        <v>0.16666666666666666</v>
      </c>
    </row>
    <row r="204" spans="1:12" x14ac:dyDescent="0.15">
      <c r="A204" s="3" t="s">
        <v>12</v>
      </c>
      <c r="B204">
        <v>6403</v>
      </c>
      <c r="C204" t="str">
        <f>VLOOKUP($B204,'[1]DB PV ENI'!$A$4:$H$577,2,FALSE)</f>
        <v>NORD EST</v>
      </c>
      <c r="D204" t="str">
        <f>VLOOKUP($B204,'[1]DB PV ENI'!$A$4:$H$577,3,FALSE)</f>
        <v>EMILIA-ROMAGNA</v>
      </c>
      <c r="E204" t="str">
        <f>VLOOKUP($B204,'[1]DB PV ENI'!$A$4:$H$577,4,FALSE)</f>
        <v>REGGIO EMILIA</v>
      </c>
      <c r="F204" t="str">
        <f>VLOOKUP($B204,'[1]DB PV ENI'!$A$4:$H$577,5,FALSE)</f>
        <v>GUASTALLA</v>
      </c>
      <c r="G204" t="str">
        <f>VLOOKUP($B204,'[1]DB PV ENI'!$A$4:$H$577,6,FALSE)</f>
        <v>VIA CISA LIGURE 10</v>
      </c>
      <c r="H204">
        <v>9</v>
      </c>
      <c r="I204" s="1">
        <v>3</v>
      </c>
      <c r="J204" s="1">
        <v>6</v>
      </c>
      <c r="K204" s="1">
        <v>2</v>
      </c>
      <c r="L204" s="4">
        <v>0.33333333333333331</v>
      </c>
    </row>
    <row r="205" spans="1:12" x14ac:dyDescent="0.15">
      <c r="A205" s="3" t="s">
        <v>12</v>
      </c>
      <c r="B205">
        <v>13223</v>
      </c>
      <c r="C205" t="str">
        <f>VLOOKUP($B205,'[1]DB PV ENI'!$A$4:$H$577,2,FALSE)</f>
        <v>NORD EST</v>
      </c>
      <c r="D205" t="str">
        <f>VLOOKUP($B205,'[1]DB PV ENI'!$A$4:$H$577,3,FALSE)</f>
        <v>VENETO</v>
      </c>
      <c r="E205" t="str">
        <f>VLOOKUP($B205,'[1]DB PV ENI'!$A$4:$H$577,4,FALSE)</f>
        <v>PADOVA</v>
      </c>
      <c r="F205" t="str">
        <f>VLOOKUP($B205,'[1]DB PV ENI'!$A$4:$H$577,5,FALSE)</f>
        <v>PADOVA</v>
      </c>
      <c r="G205" t="str">
        <f>VLOOKUP($B205,'[1]DB PV ENI'!$A$4:$H$577,6,FALSE)</f>
        <v>CORSO STATI UNITI 27</v>
      </c>
      <c r="H205">
        <v>7</v>
      </c>
      <c r="I205" s="1">
        <v>2</v>
      </c>
      <c r="J205" s="1">
        <v>5</v>
      </c>
      <c r="K205" s="1">
        <v>2</v>
      </c>
      <c r="L205" s="4">
        <v>0.4</v>
      </c>
    </row>
    <row r="206" spans="1:12" x14ac:dyDescent="0.15">
      <c r="A206" s="3" t="s">
        <v>12</v>
      </c>
      <c r="B206">
        <v>13227</v>
      </c>
      <c r="C206" t="str">
        <f>VLOOKUP($B206,'[1]DB PV ENI'!$A$4:$H$577,2,FALSE)</f>
        <v>NORD EST</v>
      </c>
      <c r="D206" t="str">
        <f>VLOOKUP($B206,'[1]DB PV ENI'!$A$4:$H$577,3,FALSE)</f>
        <v>VENETO</v>
      </c>
      <c r="E206" t="str">
        <f>VLOOKUP($B206,'[1]DB PV ENI'!$A$4:$H$577,4,FALSE)</f>
        <v>PADOVA</v>
      </c>
      <c r="F206" t="str">
        <f>VLOOKUP($B206,'[1]DB PV ENI'!$A$4:$H$577,5,FALSE)</f>
        <v>SOLESINO</v>
      </c>
      <c r="G206" t="str">
        <f>VLOOKUP($B206,'[1]DB PV ENI'!$A$4:$H$577,6,FALSE)</f>
        <v>VIA IV NOVEMBRE 145</v>
      </c>
      <c r="H206">
        <v>4</v>
      </c>
      <c r="I206" s="1">
        <v>2</v>
      </c>
      <c r="J206" s="1">
        <v>2</v>
      </c>
      <c r="K206" s="1">
        <v>2</v>
      </c>
      <c r="L206" s="4">
        <v>1</v>
      </c>
    </row>
    <row r="207" spans="1:12" x14ac:dyDescent="0.15">
      <c r="A207" s="3" t="s">
        <v>12</v>
      </c>
      <c r="B207">
        <v>25554</v>
      </c>
      <c r="C207" t="str">
        <f>VLOOKUP($B207,'[1]DB PV ENI'!$A$4:$H$577,2,FALSE)</f>
        <v>NORD EST</v>
      </c>
      <c r="D207" t="str">
        <f>VLOOKUP($B207,'[1]DB PV ENI'!$A$4:$H$577,3,FALSE)</f>
        <v>EMILIA-ROMAGNA</v>
      </c>
      <c r="E207" t="str">
        <f>VLOOKUP($B207,'[1]DB PV ENI'!$A$4:$H$577,4,FALSE)</f>
        <v>BOLOGNA</v>
      </c>
      <c r="F207" t="str">
        <f>VLOOKUP($B207,'[1]DB PV ENI'!$A$4:$H$577,5,FALSE)</f>
        <v>BOLOGNA</v>
      </c>
      <c r="G207" t="str">
        <f>VLOOKUP($B207,'[1]DB PV ENI'!$A$4:$H$577,6,FALSE)</f>
        <v>VIA NUOVA BAZZANESE 8</v>
      </c>
      <c r="H207">
        <v>12</v>
      </c>
      <c r="I207" s="1">
        <v>3</v>
      </c>
      <c r="J207" s="1">
        <v>9</v>
      </c>
      <c r="K207" s="1">
        <v>2</v>
      </c>
      <c r="L207" s="4">
        <v>0.22222222222222221</v>
      </c>
    </row>
    <row r="208" spans="1:12" x14ac:dyDescent="0.15">
      <c r="A208" s="3" t="s">
        <v>12</v>
      </c>
      <c r="B208">
        <v>53882</v>
      </c>
      <c r="C208" t="str">
        <f>VLOOKUP($B208,'[1]DB PV ENI'!$A$4:$H$577,2,FALSE)</f>
        <v>NORD EST</v>
      </c>
      <c r="D208" t="str">
        <f>VLOOKUP($B208,'[1]DB PV ENI'!$A$4:$H$577,3,FALSE)</f>
        <v>MARCHE</v>
      </c>
      <c r="E208" t="str">
        <f>VLOOKUP($B208,'[1]DB PV ENI'!$A$4:$H$577,4,FALSE)</f>
        <v>FERMO</v>
      </c>
      <c r="F208" t="str">
        <f>VLOOKUP($B208,'[1]DB PV ENI'!$A$4:$H$577,5,FALSE)</f>
        <v>PORTO SAN GIORGIO</v>
      </c>
      <c r="G208" t="str">
        <f>VLOOKUP($B208,'[1]DB PV ENI'!$A$4:$H$577,6,FALSE)</f>
        <v>VIA ROSSELLI - SS 16  KM359+600</v>
      </c>
      <c r="H208">
        <v>4</v>
      </c>
      <c r="I208" s="1">
        <v>2</v>
      </c>
      <c r="J208" s="1">
        <v>2</v>
      </c>
      <c r="K208" s="1">
        <v>2</v>
      </c>
      <c r="L208" s="4">
        <v>1</v>
      </c>
    </row>
    <row r="209" spans="1:12" x14ac:dyDescent="0.15">
      <c r="A209" s="3" t="s">
        <v>12</v>
      </c>
      <c r="B209">
        <v>53921</v>
      </c>
      <c r="C209" t="str">
        <f>VLOOKUP($B209,'[1]DB PV ENI'!$A$4:$H$577,2,FALSE)</f>
        <v>NORD EST</v>
      </c>
      <c r="D209" t="str">
        <f>VLOOKUP($B209,'[1]DB PV ENI'!$A$4:$H$577,3,FALSE)</f>
        <v>VENETO</v>
      </c>
      <c r="E209" t="str">
        <f>VLOOKUP($B209,'[1]DB PV ENI'!$A$4:$H$577,4,FALSE)</f>
        <v>PADOVA</v>
      </c>
      <c r="F209" t="str">
        <f>VLOOKUP($B209,'[1]DB PV ENI'!$A$4:$H$577,5,FALSE)</f>
        <v>PADOVA</v>
      </c>
      <c r="G209" t="str">
        <f>VLOOKUP($B209,'[1]DB PV ENI'!$A$4:$H$577,6,FALSE)</f>
        <v>TRE PONTI 13/C</v>
      </c>
      <c r="H209">
        <v>5</v>
      </c>
      <c r="I209" s="1">
        <v>3</v>
      </c>
      <c r="J209" s="1">
        <v>2</v>
      </c>
      <c r="K209" s="1">
        <v>2</v>
      </c>
      <c r="L209" s="4">
        <v>1</v>
      </c>
    </row>
    <row r="210" spans="1:12" x14ac:dyDescent="0.15">
      <c r="A210" s="3" t="s">
        <v>12</v>
      </c>
      <c r="B210">
        <v>55471</v>
      </c>
      <c r="C210" t="str">
        <f>VLOOKUP($B210,'[1]DB PV ENI'!$A$4:$H$577,2,FALSE)</f>
        <v>NORD EST</v>
      </c>
      <c r="D210" t="str">
        <f>VLOOKUP($B210,'[1]DB PV ENI'!$A$4:$H$577,3,FALSE)</f>
        <v>VENETO</v>
      </c>
      <c r="E210" t="str">
        <f>VLOOKUP($B210,'[1]DB PV ENI'!$A$4:$H$577,4,FALSE)</f>
        <v>PADOVA</v>
      </c>
      <c r="F210" t="str">
        <f>VLOOKUP($B210,'[1]DB PV ENI'!$A$4:$H$577,5,FALSE)</f>
        <v>LEGNARO</v>
      </c>
      <c r="G210" t="str">
        <f>VLOOKUP($B210,'[1]DB PV ENI'!$A$4:$H$577,6,FALSE)</f>
        <v>ROMEA 21</v>
      </c>
      <c r="H210">
        <v>5</v>
      </c>
      <c r="I210" s="1">
        <v>3</v>
      </c>
      <c r="J210" s="1">
        <v>2</v>
      </c>
      <c r="K210" s="1">
        <v>2</v>
      </c>
      <c r="L210" s="4">
        <v>1</v>
      </c>
    </row>
    <row r="211" spans="1:12" x14ac:dyDescent="0.15">
      <c r="A211" s="3" t="s">
        <v>12</v>
      </c>
      <c r="B211">
        <v>120</v>
      </c>
      <c r="C211" t="str">
        <f>VLOOKUP($B211,'[1]DB PV ENI'!$A$4:$H$577,2,FALSE)</f>
        <v>NORD OVEST</v>
      </c>
      <c r="D211" t="str">
        <f>VLOOKUP($B211,'[1]DB PV ENI'!$A$4:$H$577,3,FALSE)</f>
        <v>PIEMONTE</v>
      </c>
      <c r="E211" t="str">
        <f>VLOOKUP($B211,'[1]DB PV ENI'!$A$4:$H$577,4,FALSE)</f>
        <v>BIELLA</v>
      </c>
      <c r="F211" t="str">
        <f>VLOOKUP($B211,'[1]DB PV ENI'!$A$4:$H$577,5,FALSE)</f>
        <v>COSSATO</v>
      </c>
      <c r="G211" t="str">
        <f>VLOOKUP($B211,'[1]DB PV ENI'!$A$4:$H$577,6,FALSE)</f>
        <v>VIA GIUSEPPE  MAZZINI SNC</v>
      </c>
      <c r="H211">
        <v>20</v>
      </c>
      <c r="I211" s="1">
        <v>8</v>
      </c>
      <c r="J211" s="1">
        <v>12</v>
      </c>
      <c r="K211" s="1">
        <v>2</v>
      </c>
      <c r="L211" s="4">
        <v>0.16666666666666666</v>
      </c>
    </row>
    <row r="212" spans="1:12" x14ac:dyDescent="0.15">
      <c r="A212" s="3" t="s">
        <v>12</v>
      </c>
      <c r="B212">
        <v>521</v>
      </c>
      <c r="C212" t="str">
        <f>VLOOKUP($B212,'[1]DB PV ENI'!$A$4:$H$577,2,FALSE)</f>
        <v>NORD OVEST</v>
      </c>
      <c r="D212" t="str">
        <f>VLOOKUP($B212,'[1]DB PV ENI'!$A$4:$H$577,3,FALSE)</f>
        <v>PIEMONTE</v>
      </c>
      <c r="E212" t="str">
        <f>VLOOKUP($B212,'[1]DB PV ENI'!$A$4:$H$577,4,FALSE)</f>
        <v>TORINO</v>
      </c>
      <c r="F212" t="str">
        <f>VLOOKUP($B212,'[1]DB PV ENI'!$A$4:$H$577,5,FALSE)</f>
        <v>CHIVASSO</v>
      </c>
      <c r="G212" t="str">
        <f>VLOOKUP($B212,'[1]DB PV ENI'!$A$4:$H$577,6,FALSE)</f>
        <v>SS 26 KM 1</v>
      </c>
      <c r="H212">
        <v>9</v>
      </c>
      <c r="I212" s="1">
        <v>2</v>
      </c>
      <c r="J212" s="1">
        <v>7</v>
      </c>
      <c r="K212" s="1">
        <v>2</v>
      </c>
      <c r="L212" s="4">
        <v>0.2857142857142857</v>
      </c>
    </row>
    <row r="213" spans="1:12" x14ac:dyDescent="0.15">
      <c r="A213" s="3" t="s">
        <v>12</v>
      </c>
      <c r="B213">
        <v>635</v>
      </c>
      <c r="C213" t="str">
        <f>VLOOKUP($B213,'[1]DB PV ENI'!$A$4:$H$577,2,FALSE)</f>
        <v>NORD OVEST</v>
      </c>
      <c r="D213" t="str">
        <f>VLOOKUP($B213,'[1]DB PV ENI'!$A$4:$H$577,3,FALSE)</f>
        <v>PIEMONTE</v>
      </c>
      <c r="E213" t="str">
        <f>VLOOKUP($B213,'[1]DB PV ENI'!$A$4:$H$577,4,FALSE)</f>
        <v>TORINO</v>
      </c>
      <c r="F213" t="str">
        <f>VLOOKUP($B213,'[1]DB PV ENI'!$A$4:$H$577,5,FALSE)</f>
        <v>SETTIMO TORINESE</v>
      </c>
      <c r="G213" t="str">
        <f>VLOOKUP($B213,'[1]DB PV ENI'!$A$4:$H$577,6,FALSE)</f>
        <v>VIA TORINO 116</v>
      </c>
      <c r="H213">
        <v>8</v>
      </c>
      <c r="I213" s="1">
        <v>2</v>
      </c>
      <c r="J213" s="1">
        <v>6</v>
      </c>
      <c r="K213" s="1">
        <v>2</v>
      </c>
      <c r="L213" s="4">
        <v>0.33333333333333331</v>
      </c>
    </row>
    <row r="214" spans="1:12" x14ac:dyDescent="0.15">
      <c r="A214" s="3" t="s">
        <v>12</v>
      </c>
      <c r="B214">
        <v>687</v>
      </c>
      <c r="C214" t="str">
        <f>VLOOKUP($B214,'[1]DB PV ENI'!$A$4:$H$577,2,FALSE)</f>
        <v>NORD OVEST</v>
      </c>
      <c r="D214" t="str">
        <f>VLOOKUP($B214,'[1]DB PV ENI'!$A$4:$H$577,3,FALSE)</f>
        <v>PIEMONTE</v>
      </c>
      <c r="E214" t="str">
        <f>VLOOKUP($B214,'[1]DB PV ENI'!$A$4:$H$577,4,FALSE)</f>
        <v>TORINO</v>
      </c>
      <c r="F214" t="str">
        <f>VLOOKUP($B214,'[1]DB PV ENI'!$A$4:$H$577,5,FALSE)</f>
        <v>MONCALIERI</v>
      </c>
      <c r="G214" t="str">
        <f>VLOOKUP($B214,'[1]DB PV ENI'!$A$4:$H$577,6,FALSE)</f>
        <v>CORSO ROMA SS 10 0017</v>
      </c>
      <c r="H214">
        <v>9</v>
      </c>
      <c r="I214" s="1">
        <v>2</v>
      </c>
      <c r="J214" s="1">
        <v>7</v>
      </c>
      <c r="K214" s="1">
        <v>2</v>
      </c>
      <c r="L214" s="4">
        <v>0.2857142857142857</v>
      </c>
    </row>
    <row r="215" spans="1:12" x14ac:dyDescent="0.15">
      <c r="A215" s="3" t="s">
        <v>12</v>
      </c>
      <c r="B215">
        <v>728</v>
      </c>
      <c r="C215" t="str">
        <f>VLOOKUP($B215,'[1]DB PV ENI'!$A$4:$H$577,2,FALSE)</f>
        <v>NORD OVEST</v>
      </c>
      <c r="D215" t="str">
        <f>VLOOKUP($B215,'[1]DB PV ENI'!$A$4:$H$577,3,FALSE)</f>
        <v>PIEMONTE</v>
      </c>
      <c r="E215" t="str">
        <f>VLOOKUP($B215,'[1]DB PV ENI'!$A$4:$H$577,4,FALSE)</f>
        <v>TORINO</v>
      </c>
      <c r="F215" t="str">
        <f>VLOOKUP($B215,'[1]DB PV ENI'!$A$4:$H$577,5,FALSE)</f>
        <v>POIRINO</v>
      </c>
      <c r="G215" t="str">
        <f>VLOOKUP($B215,'[1]DB PV ENI'!$A$4:$H$577,6,FALSE)</f>
        <v>S.S.29  BIVIO DI PESSIONE S.N.</v>
      </c>
      <c r="H215">
        <v>10</v>
      </c>
      <c r="I215" s="1">
        <v>3</v>
      </c>
      <c r="J215" s="1">
        <v>7</v>
      </c>
      <c r="K215" s="1">
        <v>2</v>
      </c>
      <c r="L215" s="4">
        <v>0.2857142857142857</v>
      </c>
    </row>
    <row r="216" spans="1:12" x14ac:dyDescent="0.15">
      <c r="A216" s="3" t="s">
        <v>12</v>
      </c>
      <c r="B216">
        <v>1480</v>
      </c>
      <c r="C216" t="str">
        <f>VLOOKUP($B216,'[1]DB PV ENI'!$A$4:$H$577,2,FALSE)</f>
        <v>NORD OVEST</v>
      </c>
      <c r="D216" t="str">
        <f>VLOOKUP($B216,'[1]DB PV ENI'!$A$4:$H$577,3,FALSE)</f>
        <v>PIEMONTE</v>
      </c>
      <c r="E216" t="str">
        <f>VLOOKUP($B216,'[1]DB PV ENI'!$A$4:$H$577,4,FALSE)</f>
        <v>ASTI</v>
      </c>
      <c r="F216" t="str">
        <f>VLOOKUP($B216,'[1]DB PV ENI'!$A$4:$H$577,5,FALSE)</f>
        <v>ASTI</v>
      </c>
      <c r="G216" t="str">
        <f>VLOOKUP($B216,'[1]DB PV ENI'!$A$4:$H$577,6,FALSE)</f>
        <v>S.S. 10</v>
      </c>
      <c r="H216">
        <v>12</v>
      </c>
      <c r="I216" s="1">
        <v>3</v>
      </c>
      <c r="J216" s="1">
        <v>9</v>
      </c>
      <c r="K216" s="1">
        <v>2</v>
      </c>
      <c r="L216" s="4">
        <v>0.22222222222222221</v>
      </c>
    </row>
    <row r="217" spans="1:12" x14ac:dyDescent="0.15">
      <c r="A217" s="3" t="s">
        <v>12</v>
      </c>
      <c r="B217">
        <v>1956</v>
      </c>
      <c r="C217" t="str">
        <f>VLOOKUP($B217,'[1]DB PV ENI'!$A$4:$H$577,2,FALSE)</f>
        <v>NORD OVEST</v>
      </c>
      <c r="D217" t="str">
        <f>VLOOKUP($B217,'[1]DB PV ENI'!$A$4:$H$577,3,FALSE)</f>
        <v>LOMBARDIA</v>
      </c>
      <c r="E217" t="str">
        <f>VLOOKUP($B217,'[1]DB PV ENI'!$A$4:$H$577,4,FALSE)</f>
        <v>CREMONA</v>
      </c>
      <c r="F217" t="str">
        <f>VLOOKUP($B217,'[1]DB PV ENI'!$A$4:$H$577,5,FALSE)</f>
        <v>CREMA</v>
      </c>
      <c r="G217" t="str">
        <f>VLOOKUP($B217,'[1]DB PV ENI'!$A$4:$H$577,6,FALSE)</f>
        <v>VIA PIACENZA, 50</v>
      </c>
      <c r="H217">
        <v>17</v>
      </c>
      <c r="I217" s="1">
        <v>3</v>
      </c>
      <c r="J217" s="1">
        <v>14</v>
      </c>
      <c r="K217" s="1">
        <v>2</v>
      </c>
      <c r="L217" s="4">
        <v>0.14285714285714285</v>
      </c>
    </row>
    <row r="218" spans="1:12" x14ac:dyDescent="0.15">
      <c r="A218" s="3" t="s">
        <v>12</v>
      </c>
      <c r="B218">
        <v>2261</v>
      </c>
      <c r="C218" t="str">
        <f>VLOOKUP($B218,'[1]DB PV ENI'!$A$4:$H$577,2,FALSE)</f>
        <v>NORD OVEST</v>
      </c>
      <c r="D218" t="str">
        <f>VLOOKUP($B218,'[1]DB PV ENI'!$A$4:$H$577,3,FALSE)</f>
        <v>LOMBARDIA</v>
      </c>
      <c r="E218" t="str">
        <f>VLOOKUP($B218,'[1]DB PV ENI'!$A$4:$H$577,4,FALSE)</f>
        <v>MILANO</v>
      </c>
      <c r="F218" t="str">
        <f>VLOOKUP($B218,'[1]DB PV ENI'!$A$4:$H$577,5,FALSE)</f>
        <v>SAN VITTORE OLONA</v>
      </c>
      <c r="G218" t="str">
        <f>VLOOKUP($B218,'[1]DB PV ENI'!$A$4:$H$577,6,FALSE)</f>
        <v>SS33KM24+86 - SEMPIONE</v>
      </c>
      <c r="H218">
        <v>42</v>
      </c>
      <c r="I218" s="1">
        <v>12</v>
      </c>
      <c r="J218" s="1">
        <v>30</v>
      </c>
      <c r="K218" s="1">
        <v>2</v>
      </c>
      <c r="L218" s="4">
        <v>6.6666666666666666E-2</v>
      </c>
    </row>
    <row r="219" spans="1:12" x14ac:dyDescent="0.15">
      <c r="A219" s="3" t="s">
        <v>12</v>
      </c>
      <c r="B219">
        <v>2384</v>
      </c>
      <c r="C219" t="str">
        <f>VLOOKUP($B219,'[1]DB PV ENI'!$A$4:$H$577,2,FALSE)</f>
        <v>NORD OVEST</v>
      </c>
      <c r="D219" t="str">
        <f>VLOOKUP($B219,'[1]DB PV ENI'!$A$4:$H$577,3,FALSE)</f>
        <v>LOMBARDIA</v>
      </c>
      <c r="E219" t="str">
        <f>VLOOKUP($B219,'[1]DB PV ENI'!$A$4:$H$577,4,FALSE)</f>
        <v>MONZA E DELLA BRIANZA</v>
      </c>
      <c r="F219" t="str">
        <f>VLOOKUP($B219,'[1]DB PV ENI'!$A$4:$H$577,5,FALSE)</f>
        <v>DESIO</v>
      </c>
      <c r="G219" t="str">
        <f>VLOOKUP($B219,'[1]DB PV ENI'!$A$4:$H$577,6,FALSE)</f>
        <v>MILANO</v>
      </c>
      <c r="H219">
        <v>21</v>
      </c>
      <c r="I219" s="1">
        <v>5</v>
      </c>
      <c r="J219" s="1">
        <v>16</v>
      </c>
      <c r="K219" s="1">
        <v>2</v>
      </c>
      <c r="L219" s="4">
        <v>0.125</v>
      </c>
    </row>
    <row r="220" spans="1:12" x14ac:dyDescent="0.15">
      <c r="A220" s="3" t="s">
        <v>12</v>
      </c>
      <c r="B220">
        <v>12350</v>
      </c>
      <c r="C220" t="str">
        <f>VLOOKUP($B220,'[1]DB PV ENI'!$A$4:$H$577,2,FALSE)</f>
        <v>NORD OVEST</v>
      </c>
      <c r="D220" t="str">
        <f>VLOOKUP($B220,'[1]DB PV ENI'!$A$4:$H$577,3,FALSE)</f>
        <v>LOMBARDIA</v>
      </c>
      <c r="E220" t="str">
        <f>VLOOKUP($B220,'[1]DB PV ENI'!$A$4:$H$577,4,FALSE)</f>
        <v>MILANO</v>
      </c>
      <c r="F220" t="str">
        <f>VLOOKUP($B220,'[1]DB PV ENI'!$A$4:$H$577,5,FALSE)</f>
        <v>MILANO</v>
      </c>
      <c r="G220" t="str">
        <f>VLOOKUP($B220,'[1]DB PV ENI'!$A$4:$H$577,6,FALSE)</f>
        <v>VIA ANTONINI ANGOLO VERRO SNC</v>
      </c>
      <c r="H220">
        <v>17</v>
      </c>
      <c r="I220" s="1">
        <v>6</v>
      </c>
      <c r="J220" s="1">
        <v>11</v>
      </c>
      <c r="K220" s="1">
        <v>2</v>
      </c>
      <c r="L220" s="4">
        <v>0.18181818181818182</v>
      </c>
    </row>
    <row r="221" spans="1:12" x14ac:dyDescent="0.15">
      <c r="A221" s="3" t="s">
        <v>12</v>
      </c>
      <c r="B221">
        <v>51212</v>
      </c>
      <c r="C221" t="str">
        <f>VLOOKUP($B221,'[1]DB PV ENI'!$A$4:$H$577,2,FALSE)</f>
        <v>NORD OVEST</v>
      </c>
      <c r="D221" t="str">
        <f>VLOOKUP($B221,'[1]DB PV ENI'!$A$4:$H$577,3,FALSE)</f>
        <v>PIEMONTE</v>
      </c>
      <c r="E221" t="str">
        <f>VLOOKUP($B221,'[1]DB PV ENI'!$A$4:$H$577,4,FALSE)</f>
        <v>NOVARA</v>
      </c>
      <c r="F221" t="str">
        <f>VLOOKUP($B221,'[1]DB PV ENI'!$A$4:$H$577,5,FALSE)</f>
        <v>NOVARA</v>
      </c>
      <c r="G221" t="str">
        <f>VLOOKUP($B221,'[1]DB PV ENI'!$A$4:$H$577,6,FALSE)</f>
        <v>C.SO TRIESTE, 54B</v>
      </c>
      <c r="H221">
        <v>6</v>
      </c>
      <c r="I221" s="1">
        <v>4</v>
      </c>
      <c r="J221" s="1">
        <v>2</v>
      </c>
      <c r="K221" s="1">
        <v>2</v>
      </c>
      <c r="L221" s="4">
        <v>1</v>
      </c>
    </row>
    <row r="222" spans="1:12" x14ac:dyDescent="0.15">
      <c r="A222" s="3" t="s">
        <v>12</v>
      </c>
      <c r="B222">
        <v>51832</v>
      </c>
      <c r="C222" t="str">
        <f>VLOOKUP($B222,'[1]DB PV ENI'!$A$4:$H$577,2,FALSE)</f>
        <v>NORD OVEST</v>
      </c>
      <c r="D222" t="str">
        <f>VLOOKUP($B222,'[1]DB PV ENI'!$A$4:$H$577,3,FALSE)</f>
        <v>LOMBARDIA</v>
      </c>
      <c r="E222" t="str">
        <f>VLOOKUP($B222,'[1]DB PV ENI'!$A$4:$H$577,4,FALSE)</f>
        <v>LECCO</v>
      </c>
      <c r="F222" t="str">
        <f>VLOOKUP($B222,'[1]DB PV ENI'!$A$4:$H$577,5,FALSE)</f>
        <v>OSNAGO</v>
      </c>
      <c r="G222" t="str">
        <f>VLOOKUP($B222,'[1]DB PV ENI'!$A$4:$H$577,6,FALSE)</f>
        <v>SS 36 KM 30+083</v>
      </c>
      <c r="H222">
        <v>16</v>
      </c>
      <c r="I222" s="1">
        <v>7</v>
      </c>
      <c r="J222" s="1">
        <v>9</v>
      </c>
      <c r="K222" s="1">
        <v>2</v>
      </c>
      <c r="L222" s="4">
        <v>0.22222222222222221</v>
      </c>
    </row>
    <row r="223" spans="1:12" x14ac:dyDescent="0.15">
      <c r="A223" s="3" t="s">
        <v>12</v>
      </c>
      <c r="B223">
        <v>55496</v>
      </c>
      <c r="C223" t="str">
        <f>VLOOKUP($B223,'[1]DB PV ENI'!$A$4:$H$577,2,FALSE)</f>
        <v>NORD OVEST</v>
      </c>
      <c r="D223" t="str">
        <f>VLOOKUP($B223,'[1]DB PV ENI'!$A$4:$H$577,3,FALSE)</f>
        <v>LOMBARDIA</v>
      </c>
      <c r="E223" t="str">
        <f>VLOOKUP($B223,'[1]DB PV ENI'!$A$4:$H$577,4,FALSE)</f>
        <v>BERGAMO</v>
      </c>
      <c r="F223" t="str">
        <f>VLOOKUP($B223,'[1]DB PV ENI'!$A$4:$H$577,5,FALSE)</f>
        <v>MOZZO</v>
      </c>
      <c r="G223" t="str">
        <f>VLOOKUP($B223,'[1]DB PV ENI'!$A$4:$H$577,6,FALSE)</f>
        <v>SS 470 KM 5 0000</v>
      </c>
      <c r="H223">
        <v>19</v>
      </c>
      <c r="I223" s="1">
        <v>6</v>
      </c>
      <c r="J223" s="1">
        <v>13</v>
      </c>
      <c r="K223" s="1">
        <v>2</v>
      </c>
      <c r="L223" s="4">
        <v>0.15384615384615385</v>
      </c>
    </row>
    <row r="224" spans="1:12" x14ac:dyDescent="0.15">
      <c r="A224" s="3" t="s">
        <v>12</v>
      </c>
      <c r="B224">
        <v>55539</v>
      </c>
      <c r="C224" t="str">
        <f>VLOOKUP($B224,'[1]DB PV ENI'!$A$4:$H$577,2,FALSE)</f>
        <v>NORD OVEST</v>
      </c>
      <c r="D224" t="str">
        <f>VLOOKUP($B224,'[1]DB PV ENI'!$A$4:$H$577,3,FALSE)</f>
        <v>LOMBARDIA</v>
      </c>
      <c r="E224" t="str">
        <f>VLOOKUP($B224,'[1]DB PV ENI'!$A$4:$H$577,4,FALSE)</f>
        <v>MILANO</v>
      </c>
      <c r="F224" t="str">
        <f>VLOOKUP($B224,'[1]DB PV ENI'!$A$4:$H$577,5,FALSE)</f>
        <v>MESERO</v>
      </c>
      <c r="G224" t="str">
        <f>VLOOKUP($B224,'[1]DB PV ENI'!$A$4:$H$577,6,FALSE)</f>
        <v>SP 31 KM 12+45</v>
      </c>
      <c r="H224">
        <v>13</v>
      </c>
      <c r="I224" s="1">
        <v>4</v>
      </c>
      <c r="J224" s="1">
        <v>9</v>
      </c>
      <c r="K224" s="1">
        <v>2</v>
      </c>
      <c r="L224" s="4">
        <v>0.22222222222222221</v>
      </c>
    </row>
    <row r="225" spans="1:12" x14ac:dyDescent="0.15">
      <c r="A225" s="3" t="s">
        <v>12</v>
      </c>
      <c r="B225">
        <v>55673</v>
      </c>
      <c r="C225" t="str">
        <f>VLOOKUP($B225,'[1]DB PV ENI'!$A$4:$H$577,2,FALSE)</f>
        <v>NORD OVEST</v>
      </c>
      <c r="D225" t="str">
        <f>VLOOKUP($B225,'[1]DB PV ENI'!$A$4:$H$577,3,FALSE)</f>
        <v>LOMBARDIA</v>
      </c>
      <c r="E225" t="str">
        <f>VLOOKUP($B225,'[1]DB PV ENI'!$A$4:$H$577,4,FALSE)</f>
        <v>MILANO</v>
      </c>
      <c r="F225" t="str">
        <f>VLOOKUP($B225,'[1]DB PV ENI'!$A$4:$H$577,5,FALSE)</f>
        <v>MILANO</v>
      </c>
      <c r="G225" t="str">
        <f>VLOOKUP($B225,'[1]DB PV ENI'!$A$4:$H$577,6,FALSE)</f>
        <v>VIA GALLARATE 40</v>
      </c>
      <c r="H225">
        <v>6</v>
      </c>
      <c r="I225" s="1">
        <v>3</v>
      </c>
      <c r="J225" s="1">
        <v>3</v>
      </c>
      <c r="K225" s="1">
        <v>2</v>
      </c>
      <c r="L225" s="4">
        <v>0.66666666666666663</v>
      </c>
    </row>
    <row r="226" spans="1:12" x14ac:dyDescent="0.15">
      <c r="A226" s="3" t="s">
        <v>12</v>
      </c>
      <c r="B226">
        <v>8136</v>
      </c>
      <c r="C226" t="str">
        <f>VLOOKUP($B226,'[1]DB PV ENI'!$A$4:$H$577,2,FALSE)</f>
        <v>SUD</v>
      </c>
      <c r="D226" t="str">
        <f>VLOOKUP($B226,'[1]DB PV ENI'!$A$4:$H$577,3,FALSE)</f>
        <v>CAMPANIA</v>
      </c>
      <c r="E226" t="str">
        <f>VLOOKUP($B226,'[1]DB PV ENI'!$A$4:$H$577,4,FALSE)</f>
        <v>NAPOLI</v>
      </c>
      <c r="F226" t="str">
        <f>VLOOKUP($B226,'[1]DB PV ENI'!$A$4:$H$577,5,FALSE)</f>
        <v>TORRE ANNUNZIATA</v>
      </c>
      <c r="G226" t="str">
        <f>VLOOKUP($B226,'[1]DB PV ENI'!$A$4:$H$577,6,FALSE)</f>
        <v>CORSO UMBERTO S S 18</v>
      </c>
      <c r="H226">
        <v>33</v>
      </c>
      <c r="I226" s="1">
        <v>8</v>
      </c>
      <c r="J226" s="1">
        <v>25</v>
      </c>
      <c r="K226" s="1">
        <v>2</v>
      </c>
      <c r="L226" s="4">
        <v>0.08</v>
      </c>
    </row>
    <row r="227" spans="1:12" x14ac:dyDescent="0.15">
      <c r="A227" s="3" t="s">
        <v>12</v>
      </c>
      <c r="B227">
        <v>8164</v>
      </c>
      <c r="C227" t="str">
        <f>VLOOKUP($B227,'[1]DB PV ENI'!$A$4:$H$577,2,FALSE)</f>
        <v>SUD</v>
      </c>
      <c r="D227" t="str">
        <f>VLOOKUP($B227,'[1]DB PV ENI'!$A$4:$H$577,3,FALSE)</f>
        <v>CAMPANIA</v>
      </c>
      <c r="E227" t="str">
        <f>VLOOKUP($B227,'[1]DB PV ENI'!$A$4:$H$577,4,FALSE)</f>
        <v>NAPOLI</v>
      </c>
      <c r="F227" t="str">
        <f>VLOOKUP($B227,'[1]DB PV ENI'!$A$4:$H$577,5,FALSE)</f>
        <v>POMIGLIANO D'ARCO</v>
      </c>
      <c r="G227" t="str">
        <f>VLOOKUP($B227,'[1]DB PV ENI'!$A$4:$H$577,6,FALSE)</f>
        <v>VIA NAZIONALE DELLE PUGLIE</v>
      </c>
      <c r="H227">
        <v>20</v>
      </c>
      <c r="I227" s="1">
        <v>5</v>
      </c>
      <c r="J227" s="1">
        <v>15</v>
      </c>
      <c r="K227" s="1">
        <v>2</v>
      </c>
      <c r="L227" s="4">
        <v>0.13333333333333333</v>
      </c>
    </row>
    <row r="228" spans="1:12" x14ac:dyDescent="0.15">
      <c r="A228" s="3" t="s">
        <v>12</v>
      </c>
      <c r="B228">
        <v>8444</v>
      </c>
      <c r="C228" t="str">
        <f>VLOOKUP($B228,'[1]DB PV ENI'!$A$4:$H$577,2,FALSE)</f>
        <v>SUD</v>
      </c>
      <c r="D228" t="str">
        <f>VLOOKUP($B228,'[1]DB PV ENI'!$A$4:$H$577,3,FALSE)</f>
        <v>CAMPANIA</v>
      </c>
      <c r="E228" t="str">
        <f>VLOOKUP($B228,'[1]DB PV ENI'!$A$4:$H$577,4,FALSE)</f>
        <v>CASERTA</v>
      </c>
      <c r="F228" t="str">
        <f>VLOOKUP($B228,'[1]DB PV ENI'!$A$4:$H$577,5,FALSE)</f>
        <v>AVERSA</v>
      </c>
      <c r="G228" t="str">
        <f>VLOOKUP($B228,'[1]DB PV ENI'!$A$4:$H$577,6,FALSE)</f>
        <v>VIALE KENNEDY ANGOLO VIA JASI</v>
      </c>
      <c r="H228">
        <v>18</v>
      </c>
      <c r="I228" s="1">
        <v>5</v>
      </c>
      <c r="J228" s="1">
        <v>13</v>
      </c>
      <c r="K228" s="1">
        <v>2</v>
      </c>
      <c r="L228" s="4">
        <v>0.15384615384615385</v>
      </c>
    </row>
    <row r="229" spans="1:12" x14ac:dyDescent="0.15">
      <c r="A229" s="3" t="s">
        <v>12</v>
      </c>
      <c r="B229">
        <v>8945</v>
      </c>
      <c r="C229" t="str">
        <f>VLOOKUP($B229,'[1]DB PV ENI'!$A$4:$H$577,2,FALSE)</f>
        <v>SUD</v>
      </c>
      <c r="D229" t="str">
        <f>VLOOKUP($B229,'[1]DB PV ENI'!$A$4:$H$577,3,FALSE)</f>
        <v>CAMPANIA</v>
      </c>
      <c r="E229" t="str">
        <f>VLOOKUP($B229,'[1]DB PV ENI'!$A$4:$H$577,4,FALSE)</f>
        <v>SALERNO</v>
      </c>
      <c r="F229" t="str">
        <f>VLOOKUP($B229,'[1]DB PV ENI'!$A$4:$H$577,5,FALSE)</f>
        <v>ANGRI</v>
      </c>
      <c r="G229" t="str">
        <f>VLOOKUP($B229,'[1]DB PV ENI'!$A$4:$H$577,6,FALSE)</f>
        <v>STR PROV ACC AUTOSTR</v>
      </c>
      <c r="H229">
        <v>31</v>
      </c>
      <c r="I229" s="1">
        <v>5</v>
      </c>
      <c r="J229" s="1">
        <v>26</v>
      </c>
      <c r="K229" s="1">
        <v>2</v>
      </c>
      <c r="L229" s="4">
        <v>7.6923076923076927E-2</v>
      </c>
    </row>
    <row r="230" spans="1:12" x14ac:dyDescent="0.15">
      <c r="A230" s="3" t="s">
        <v>12</v>
      </c>
      <c r="B230">
        <v>9284</v>
      </c>
      <c r="C230" t="str">
        <f>VLOOKUP($B230,'[1]DB PV ENI'!$A$4:$H$577,2,FALSE)</f>
        <v>SUD</v>
      </c>
      <c r="D230" t="str">
        <f>VLOOKUP($B230,'[1]DB PV ENI'!$A$4:$H$577,3,FALSE)</f>
        <v>PUGLIA</v>
      </c>
      <c r="E230" t="str">
        <f>VLOOKUP($B230,'[1]DB PV ENI'!$A$4:$H$577,4,FALSE)</f>
        <v>FOGGIA</v>
      </c>
      <c r="F230" t="str">
        <f>VLOOKUP($B230,'[1]DB PV ENI'!$A$4:$H$577,5,FALSE)</f>
        <v>MANFREDONIA</v>
      </c>
      <c r="G230" t="str">
        <f>VLOOKUP($B230,'[1]DB PV ENI'!$A$4:$H$577,6,FALSE)</f>
        <v>VIALE DI VITTORIO SN</v>
      </c>
      <c r="H230">
        <v>13</v>
      </c>
      <c r="I230" s="1">
        <v>2</v>
      </c>
      <c r="J230" s="1">
        <v>11</v>
      </c>
      <c r="K230" s="1">
        <v>2</v>
      </c>
      <c r="L230" s="4">
        <v>0.18181818181818182</v>
      </c>
    </row>
    <row r="231" spans="1:12" x14ac:dyDescent="0.15">
      <c r="A231" s="3" t="s">
        <v>12</v>
      </c>
      <c r="B231">
        <v>9298</v>
      </c>
      <c r="C231" t="str">
        <f>VLOOKUP($B231,'[1]DB PV ENI'!$A$4:$H$577,2,FALSE)</f>
        <v>SUD</v>
      </c>
      <c r="D231" t="str">
        <f>VLOOKUP($B231,'[1]DB PV ENI'!$A$4:$H$577,3,FALSE)</f>
        <v>PUGLIA</v>
      </c>
      <c r="E231" t="str">
        <f>VLOOKUP($B231,'[1]DB PV ENI'!$A$4:$H$577,4,FALSE)</f>
        <v>FOGGIA</v>
      </c>
      <c r="F231" t="str">
        <f>VLOOKUP($B231,'[1]DB PV ENI'!$A$4:$H$577,5,FALSE)</f>
        <v>FOGGIA</v>
      </c>
      <c r="G231" t="str">
        <f>VLOOKUP($B231,'[1]DB PV ENI'!$A$4:$H$577,6,FALSE)</f>
        <v>VIALE DEGLI AVIATORI 108/B</v>
      </c>
      <c r="H231">
        <v>11</v>
      </c>
      <c r="I231" s="1">
        <v>3</v>
      </c>
      <c r="J231" s="1">
        <v>8</v>
      </c>
      <c r="K231" s="1">
        <v>2</v>
      </c>
      <c r="L231" s="4">
        <v>0.25</v>
      </c>
    </row>
    <row r="232" spans="1:12" x14ac:dyDescent="0.15">
      <c r="A232" s="3" t="s">
        <v>12</v>
      </c>
      <c r="B232">
        <v>9896</v>
      </c>
      <c r="C232" t="str">
        <f>VLOOKUP($B232,'[1]DB PV ENI'!$A$4:$H$577,2,FALSE)</f>
        <v>SUD</v>
      </c>
      <c r="D232" t="str">
        <f>VLOOKUP($B232,'[1]DB PV ENI'!$A$4:$H$577,3,FALSE)</f>
        <v>SICILIA</v>
      </c>
      <c r="E232" t="str">
        <f>VLOOKUP($B232,'[1]DB PV ENI'!$A$4:$H$577,4,FALSE)</f>
        <v>SIRACUSA</v>
      </c>
      <c r="F232" t="str">
        <f>VLOOKUP($B232,'[1]DB PV ENI'!$A$4:$H$577,5,FALSE)</f>
        <v>CARLENTINI</v>
      </c>
      <c r="G232" t="str">
        <f>VLOOKUP($B232,'[1]DB PV ENI'!$A$4:$H$577,6,FALSE)</f>
        <v>VIA COMUNALE PER CATANIA</v>
      </c>
      <c r="H232">
        <v>8</v>
      </c>
      <c r="I232" s="1">
        <v>2</v>
      </c>
      <c r="J232" s="1">
        <v>6</v>
      </c>
      <c r="K232" s="1">
        <v>2</v>
      </c>
      <c r="L232" s="4">
        <v>0.33333333333333331</v>
      </c>
    </row>
    <row r="233" spans="1:12" x14ac:dyDescent="0.15">
      <c r="A233" s="3" t="s">
        <v>12</v>
      </c>
      <c r="B233">
        <v>4653</v>
      </c>
      <c r="C233" t="str">
        <f>VLOOKUP($B233,'[1]DB PV ENI'!$A$4:$H$577,2,FALSE)</f>
        <v>CENTRO</v>
      </c>
      <c r="D233" t="str">
        <f>VLOOKUP($B233,'[1]DB PV ENI'!$A$4:$H$577,3,FALSE)</f>
        <v>TOSCANA</v>
      </c>
      <c r="E233" t="str">
        <f>VLOOKUP($B233,'[1]DB PV ENI'!$A$4:$H$577,4,FALSE)</f>
        <v>AREZZO</v>
      </c>
      <c r="F233" t="str">
        <f>VLOOKUP($B233,'[1]DB PV ENI'!$A$4:$H$577,5,FALSE)</f>
        <v>CASTIGLION FIORENTINO</v>
      </c>
      <c r="G233" t="str">
        <f>VLOOKUP($B233,'[1]DB PV ENI'!$A$4:$H$577,6,FALSE)</f>
        <v>SS 71 KM.131+073</v>
      </c>
      <c r="H233">
        <v>5</v>
      </c>
      <c r="I233" s="1">
        <v>2</v>
      </c>
      <c r="J233" s="1">
        <v>3</v>
      </c>
      <c r="K233" s="1">
        <v>1</v>
      </c>
      <c r="L233" s="4">
        <v>0.33333333333333331</v>
      </c>
    </row>
    <row r="234" spans="1:12" x14ac:dyDescent="0.15">
      <c r="A234" s="3" t="s">
        <v>12</v>
      </c>
      <c r="B234">
        <v>5099</v>
      </c>
      <c r="C234" t="str">
        <f>VLOOKUP($B234,'[1]DB PV ENI'!$A$4:$H$577,2,FALSE)</f>
        <v>CENTRO</v>
      </c>
      <c r="D234" t="str">
        <f>VLOOKUP($B234,'[1]DB PV ENI'!$A$4:$H$577,3,FALSE)</f>
        <v>TOSCANA</v>
      </c>
      <c r="E234" t="str">
        <f>VLOOKUP($B234,'[1]DB PV ENI'!$A$4:$H$577,4,FALSE)</f>
        <v>LIVORNO</v>
      </c>
      <c r="F234" t="str">
        <f>VLOOKUP($B234,'[1]DB PV ENI'!$A$4:$H$577,5,FALSE)</f>
        <v>COLLESALVETTI</v>
      </c>
      <c r="G234" t="str">
        <f>VLOOKUP($B234,'[1]DB PV ENI'!$A$4:$H$577,6,FALSE)</f>
        <v>S.G.C. FI/PI/LI LOC.GRECCIANO SUD 64</v>
      </c>
      <c r="H234">
        <v>4</v>
      </c>
      <c r="I234" s="1">
        <v>1</v>
      </c>
      <c r="J234" s="1">
        <v>3</v>
      </c>
      <c r="K234" s="1">
        <v>1</v>
      </c>
      <c r="L234" s="4">
        <v>0.33333333333333331</v>
      </c>
    </row>
    <row r="235" spans="1:12" x14ac:dyDescent="0.15">
      <c r="A235" s="3" t="s">
        <v>12</v>
      </c>
      <c r="B235">
        <v>5290</v>
      </c>
      <c r="C235" t="str">
        <f>VLOOKUP($B235,'[1]DB PV ENI'!$A$4:$H$577,2,FALSE)</f>
        <v>CENTRO</v>
      </c>
      <c r="D235" t="str">
        <f>VLOOKUP($B235,'[1]DB PV ENI'!$A$4:$H$577,3,FALSE)</f>
        <v>TOSCANA</v>
      </c>
      <c r="E235" t="str">
        <f>VLOOKUP($B235,'[1]DB PV ENI'!$A$4:$H$577,4,FALSE)</f>
        <v>PISA</v>
      </c>
      <c r="F235" t="str">
        <f>VLOOKUP($B235,'[1]DB PV ENI'!$A$4:$H$577,5,FALSE)</f>
        <v>PONTEDERA</v>
      </c>
      <c r="G235" t="str">
        <f>VLOOKUP($B235,'[1]DB PV ENI'!$A$4:$H$577,6,FALSE)</f>
        <v>S.G.C. FIPILI KM 52,800 - LOC. CURIGLIANO</v>
      </c>
      <c r="H235">
        <v>7</v>
      </c>
      <c r="I235" s="1">
        <v>1</v>
      </c>
      <c r="J235" s="1">
        <v>6</v>
      </c>
      <c r="K235" s="1">
        <v>1</v>
      </c>
      <c r="L235" s="4">
        <v>0.16666666666666666</v>
      </c>
    </row>
    <row r="236" spans="1:12" x14ac:dyDescent="0.15">
      <c r="A236" s="3" t="s">
        <v>12</v>
      </c>
      <c r="B236">
        <v>6621</v>
      </c>
      <c r="C236" t="str">
        <f>VLOOKUP($B236,'[1]DB PV ENI'!$A$4:$H$577,2,FALSE)</f>
        <v>CENTRO</v>
      </c>
      <c r="D236" t="str">
        <f>VLOOKUP($B236,'[1]DB PV ENI'!$A$4:$H$577,3,FALSE)</f>
        <v>LAZIO</v>
      </c>
      <c r="E236" t="str">
        <f>VLOOKUP($B236,'[1]DB PV ENI'!$A$4:$H$577,4,FALSE)</f>
        <v>FROSINONE</v>
      </c>
      <c r="F236" t="str">
        <f>VLOOKUP($B236,'[1]DB PV ENI'!$A$4:$H$577,5,FALSE)</f>
        <v>CASSINO</v>
      </c>
      <c r="G236" t="str">
        <f>VLOOKUP($B236,'[1]DB PV ENI'!$A$4:$H$577,6,FALSE)</f>
        <v>VIA CASILINA SUD KM 140+200</v>
      </c>
      <c r="H236">
        <v>24</v>
      </c>
      <c r="I236" s="1">
        <v>4</v>
      </c>
      <c r="J236" s="1">
        <v>20</v>
      </c>
      <c r="K236" s="1">
        <v>1</v>
      </c>
      <c r="L236" s="4">
        <v>0.05</v>
      </c>
    </row>
    <row r="237" spans="1:12" x14ac:dyDescent="0.15">
      <c r="A237" s="3" t="s">
        <v>12</v>
      </c>
      <c r="B237">
        <v>6725</v>
      </c>
      <c r="C237" t="str">
        <f>VLOOKUP($B237,'[1]DB PV ENI'!$A$4:$H$577,2,FALSE)</f>
        <v>CENTRO</v>
      </c>
      <c r="D237" t="str">
        <f>VLOOKUP($B237,'[1]DB PV ENI'!$A$4:$H$577,3,FALSE)</f>
        <v>LAZIO</v>
      </c>
      <c r="E237" t="str">
        <f>VLOOKUP($B237,'[1]DB PV ENI'!$A$4:$H$577,4,FALSE)</f>
        <v>LATINA</v>
      </c>
      <c r="F237" t="str">
        <f>VLOOKUP($B237,'[1]DB PV ENI'!$A$4:$H$577,5,FALSE)</f>
        <v>LATINA</v>
      </c>
      <c r="G237" t="str">
        <f>VLOOKUP($B237,'[1]DB PV ENI'!$A$4:$H$577,6,FALSE)</f>
        <v>ISONZO</v>
      </c>
      <c r="H237">
        <v>8</v>
      </c>
      <c r="I237" s="1">
        <v>1</v>
      </c>
      <c r="J237" s="1">
        <v>7</v>
      </c>
      <c r="K237" s="1">
        <v>1</v>
      </c>
      <c r="L237" s="4">
        <v>0.14285714285714285</v>
      </c>
    </row>
    <row r="238" spans="1:12" x14ac:dyDescent="0.15">
      <c r="A238" s="3" t="s">
        <v>12</v>
      </c>
      <c r="B238">
        <v>7088</v>
      </c>
      <c r="C238" t="str">
        <f>VLOOKUP($B238,'[1]DB PV ENI'!$A$4:$H$577,2,FALSE)</f>
        <v>CENTRO</v>
      </c>
      <c r="D238" t="str">
        <f>VLOOKUP($B238,'[1]DB PV ENI'!$A$4:$H$577,3,FALSE)</f>
        <v>LAZIO</v>
      </c>
      <c r="E238" t="str">
        <f>VLOOKUP($B238,'[1]DB PV ENI'!$A$4:$H$577,4,FALSE)</f>
        <v>ROMA</v>
      </c>
      <c r="F238" t="str">
        <f>VLOOKUP($B238,'[1]DB PV ENI'!$A$4:$H$577,5,FALSE)</f>
        <v>ROMA</v>
      </c>
      <c r="G238" t="str">
        <f>VLOOKUP($B238,'[1]DB PV ENI'!$A$4:$H$577,6,FALSE)</f>
        <v>CORSO DI FRANCIA 80</v>
      </c>
      <c r="H238">
        <v>18</v>
      </c>
      <c r="I238" s="1">
        <v>5</v>
      </c>
      <c r="J238" s="1">
        <v>13</v>
      </c>
      <c r="K238" s="1">
        <v>1</v>
      </c>
      <c r="L238" s="4">
        <v>7.6923076923076927E-2</v>
      </c>
    </row>
    <row r="239" spans="1:12" x14ac:dyDescent="0.15">
      <c r="A239" s="3" t="s">
        <v>12</v>
      </c>
      <c r="B239">
        <v>7132</v>
      </c>
      <c r="C239" t="str">
        <f>VLOOKUP($B239,'[1]DB PV ENI'!$A$4:$H$577,2,FALSE)</f>
        <v>CENTRO</v>
      </c>
      <c r="D239" t="str">
        <f>VLOOKUP($B239,'[1]DB PV ENI'!$A$4:$H$577,3,FALSE)</f>
        <v>LAZIO</v>
      </c>
      <c r="E239" t="str">
        <f>VLOOKUP($B239,'[1]DB PV ENI'!$A$4:$H$577,4,FALSE)</f>
        <v>ROMA</v>
      </c>
      <c r="F239" t="str">
        <f>VLOOKUP($B239,'[1]DB PV ENI'!$A$4:$H$577,5,FALSE)</f>
        <v>MARINO</v>
      </c>
      <c r="G239" t="str">
        <f>VLOOKUP($B239,'[1]DB PV ENI'!$A$4:$H$577,6,FALSE)</f>
        <v>APPIA NUOVA KM 18+934 0006</v>
      </c>
      <c r="H239">
        <v>8</v>
      </c>
      <c r="I239" s="1">
        <v>3</v>
      </c>
      <c r="J239" s="1">
        <v>5</v>
      </c>
      <c r="K239" s="1">
        <v>1</v>
      </c>
      <c r="L239" s="4">
        <v>0.2</v>
      </c>
    </row>
    <row r="240" spans="1:12" x14ac:dyDescent="0.15">
      <c r="A240" s="3" t="s">
        <v>12</v>
      </c>
      <c r="B240">
        <v>7143</v>
      </c>
      <c r="C240" t="str">
        <f>VLOOKUP($B240,'[1]DB PV ENI'!$A$4:$H$577,2,FALSE)</f>
        <v>CENTRO</v>
      </c>
      <c r="D240" t="str">
        <f>VLOOKUP($B240,'[1]DB PV ENI'!$A$4:$H$577,3,FALSE)</f>
        <v>LAZIO</v>
      </c>
      <c r="E240" t="str">
        <f>VLOOKUP($B240,'[1]DB PV ENI'!$A$4:$H$577,4,FALSE)</f>
        <v>ROMA</v>
      </c>
      <c r="F240" t="str">
        <f>VLOOKUP($B240,'[1]DB PV ENI'!$A$4:$H$577,5,FALSE)</f>
        <v>ROMA</v>
      </c>
      <c r="G240" t="str">
        <f>VLOOKUP($B240,'[1]DB PV ENI'!$A$4:$H$577,6,FALSE)</f>
        <v>VIA AURELIA KM 8,456</v>
      </c>
      <c r="H240">
        <v>7</v>
      </c>
      <c r="I240" s="1">
        <v>3</v>
      </c>
      <c r="J240" s="1">
        <v>4</v>
      </c>
      <c r="K240" s="1">
        <v>1</v>
      </c>
      <c r="L240" s="4">
        <v>0.25</v>
      </c>
    </row>
    <row r="241" spans="1:12" x14ac:dyDescent="0.15">
      <c r="A241" s="3" t="s">
        <v>12</v>
      </c>
      <c r="B241">
        <v>7390</v>
      </c>
      <c r="C241" t="str">
        <f>VLOOKUP($B241,'[1]DB PV ENI'!$A$4:$H$577,2,FALSE)</f>
        <v>CENTRO</v>
      </c>
      <c r="D241" t="str">
        <f>VLOOKUP($B241,'[1]DB PV ENI'!$A$4:$H$577,3,FALSE)</f>
        <v>ABRUZZO</v>
      </c>
      <c r="E241" t="str">
        <f>VLOOKUP($B241,'[1]DB PV ENI'!$A$4:$H$577,4,FALSE)</f>
        <v>TERAMO</v>
      </c>
      <c r="F241" t="str">
        <f>VLOOKUP($B241,'[1]DB PV ENI'!$A$4:$H$577,5,FALSE)</f>
        <v>TERAMO</v>
      </c>
      <c r="G241" t="str">
        <f>VLOOKUP($B241,'[1]DB PV ENI'!$A$4:$H$577,6,FALSE)</f>
        <v>SS 80 KM 77+842</v>
      </c>
      <c r="H241">
        <v>9</v>
      </c>
      <c r="I241" s="1">
        <v>3</v>
      </c>
      <c r="J241" s="1">
        <v>6</v>
      </c>
      <c r="K241" s="1">
        <v>1</v>
      </c>
      <c r="L241" s="4">
        <v>0.16666666666666666</v>
      </c>
    </row>
    <row r="242" spans="1:12" x14ac:dyDescent="0.15">
      <c r="A242" s="3" t="s">
        <v>12</v>
      </c>
      <c r="B242">
        <v>17314</v>
      </c>
      <c r="C242" t="str">
        <f>VLOOKUP($B242,'[1]DB PV ENI'!$A$4:$H$577,2,FALSE)</f>
        <v>CENTRO</v>
      </c>
      <c r="D242" t="str">
        <f>VLOOKUP($B242,'[1]DB PV ENI'!$A$4:$H$577,3,FALSE)</f>
        <v>ABRUZZO</v>
      </c>
      <c r="E242" t="str">
        <f>VLOOKUP($B242,'[1]DB PV ENI'!$A$4:$H$577,4,FALSE)</f>
        <v>TERAMO</v>
      </c>
      <c r="F242" t="str">
        <f>VLOOKUP($B242,'[1]DB PV ENI'!$A$4:$H$577,5,FALSE)</f>
        <v>CORROPOLI</v>
      </c>
      <c r="G242" t="str">
        <f>VLOOKUP($B242,'[1]DB PV ENI'!$A$4:$H$577,6,FALSE)</f>
        <v>V.LE ADRIATICO 168 SS259 KM 1</v>
      </c>
      <c r="H242">
        <v>10</v>
      </c>
      <c r="I242" s="1">
        <v>2</v>
      </c>
      <c r="J242" s="1">
        <v>8</v>
      </c>
      <c r="K242" s="1">
        <v>1</v>
      </c>
      <c r="L242" s="4">
        <v>0.125</v>
      </c>
    </row>
    <row r="243" spans="1:12" x14ac:dyDescent="0.15">
      <c r="A243" s="3" t="s">
        <v>12</v>
      </c>
      <c r="B243">
        <v>27195</v>
      </c>
      <c r="C243" t="str">
        <f>VLOOKUP($B243,'[1]DB PV ENI'!$A$4:$H$577,2,FALSE)</f>
        <v>CENTRO</v>
      </c>
      <c r="D243" t="str">
        <f>VLOOKUP($B243,'[1]DB PV ENI'!$A$4:$H$577,3,FALSE)</f>
        <v>LAZIO</v>
      </c>
      <c r="E243" t="str">
        <f>VLOOKUP($B243,'[1]DB PV ENI'!$A$4:$H$577,4,FALSE)</f>
        <v>ROMA</v>
      </c>
      <c r="F243" t="str">
        <f>VLOOKUP($B243,'[1]DB PV ENI'!$A$4:$H$577,5,FALSE)</f>
        <v>GALLICANO NEL LAZIO</v>
      </c>
      <c r="G243" t="str">
        <f>VLOOKUP($B243,'[1]DB PV ENI'!$A$4:$H$577,6,FALSE)</f>
        <v>PRENESTINA EST</v>
      </c>
      <c r="H243">
        <v>7</v>
      </c>
      <c r="I243" s="1">
        <v>4</v>
      </c>
      <c r="J243" s="1">
        <v>3</v>
      </c>
      <c r="K243" s="1">
        <v>1</v>
      </c>
      <c r="L243" s="4">
        <v>0.33333333333333331</v>
      </c>
    </row>
    <row r="244" spans="1:12" x14ac:dyDescent="0.15">
      <c r="A244" s="3" t="s">
        <v>12</v>
      </c>
      <c r="B244">
        <v>27364</v>
      </c>
      <c r="C244" t="str">
        <f>VLOOKUP($B244,'[1]DB PV ENI'!$A$4:$H$577,2,FALSE)</f>
        <v>CENTRO</v>
      </c>
      <c r="D244" t="str">
        <f>VLOOKUP($B244,'[1]DB PV ENI'!$A$4:$H$577,3,FALSE)</f>
        <v>ABRUZZO</v>
      </c>
      <c r="E244" t="str">
        <f>VLOOKUP($B244,'[1]DB PV ENI'!$A$4:$H$577,4,FALSE)</f>
        <v>TERAMO</v>
      </c>
      <c r="F244" t="str">
        <f>VLOOKUP($B244,'[1]DB PV ENI'!$A$4:$H$577,5,FALSE)</f>
        <v>MOSCIANO SANT'ANGELO</v>
      </c>
      <c r="G244" t="str">
        <f>VLOOKUP($B244,'[1]DB PV ENI'!$A$4:$H$577,6,FALSE)</f>
        <v>S.S. 80 KM. 93 + 490</v>
      </c>
      <c r="H244">
        <v>13</v>
      </c>
      <c r="I244" s="1">
        <v>3</v>
      </c>
      <c r="J244" s="1">
        <v>10</v>
      </c>
      <c r="K244" s="1">
        <v>1</v>
      </c>
      <c r="L244" s="4">
        <v>0.1</v>
      </c>
    </row>
    <row r="245" spans="1:12" x14ac:dyDescent="0.15">
      <c r="A245" s="3" t="s">
        <v>12</v>
      </c>
      <c r="B245">
        <v>36942</v>
      </c>
      <c r="C245" t="str">
        <f>VLOOKUP($B245,'[1]DB PV ENI'!$A$4:$H$577,2,FALSE)</f>
        <v>CENTRO</v>
      </c>
      <c r="D245" t="str">
        <f>VLOOKUP($B245,'[1]DB PV ENI'!$A$4:$H$577,3,FALSE)</f>
        <v>LAZIO</v>
      </c>
      <c r="E245" t="str">
        <f>VLOOKUP($B245,'[1]DB PV ENI'!$A$4:$H$577,4,FALSE)</f>
        <v>ROMA</v>
      </c>
      <c r="F245" t="str">
        <f>VLOOKUP($B245,'[1]DB PV ENI'!$A$4:$H$577,5,FALSE)</f>
        <v>CASTEL GANDOLFO</v>
      </c>
      <c r="G245" t="str">
        <f>VLOOKUP($B245,'[1]DB PV ENI'!$A$4:$H$577,6,FALSE)</f>
        <v>VIA MAREMMANA KM 26, 150</v>
      </c>
      <c r="H245">
        <v>8</v>
      </c>
      <c r="I245" s="1">
        <v>2</v>
      </c>
      <c r="J245" s="1">
        <v>6</v>
      </c>
      <c r="K245" s="1">
        <v>1</v>
      </c>
      <c r="L245" s="4">
        <v>0.16666666666666666</v>
      </c>
    </row>
    <row r="246" spans="1:12" x14ac:dyDescent="0.15">
      <c r="A246" s="3" t="s">
        <v>12</v>
      </c>
      <c r="B246">
        <v>54044</v>
      </c>
      <c r="C246" t="str">
        <f>VLOOKUP($B246,'[1]DB PV ENI'!$A$4:$H$577,2,FALSE)</f>
        <v>CENTRO</v>
      </c>
      <c r="D246" t="str">
        <f>VLOOKUP($B246,'[1]DB PV ENI'!$A$4:$H$577,3,FALSE)</f>
        <v>TOSCANA</v>
      </c>
      <c r="E246" t="str">
        <f>VLOOKUP($B246,'[1]DB PV ENI'!$A$4:$H$577,4,FALSE)</f>
        <v>SIENA</v>
      </c>
      <c r="F246" t="str">
        <f>VLOOKUP($B246,'[1]DB PV ENI'!$A$4:$H$577,5,FALSE)</f>
        <v>SIENA</v>
      </c>
      <c r="G246" t="str">
        <f>VLOOKUP($B246,'[1]DB PV ENI'!$A$4:$H$577,6,FALSE)</f>
        <v>VIALE BRACCI SNC</v>
      </c>
      <c r="H246">
        <v>3</v>
      </c>
      <c r="I246" s="1">
        <v>1</v>
      </c>
      <c r="J246" s="1">
        <v>2</v>
      </c>
      <c r="K246" s="1">
        <v>1</v>
      </c>
      <c r="L246" s="4">
        <v>0.5</v>
      </c>
    </row>
    <row r="247" spans="1:12" x14ac:dyDescent="0.15">
      <c r="A247" s="3" t="s">
        <v>12</v>
      </c>
      <c r="B247">
        <v>55307</v>
      </c>
      <c r="C247" t="str">
        <f>VLOOKUP($B247,'[1]DB PV ENI'!$A$4:$H$577,2,FALSE)</f>
        <v>CENTRO</v>
      </c>
      <c r="D247" t="str">
        <f>VLOOKUP($B247,'[1]DB PV ENI'!$A$4:$H$577,3,FALSE)</f>
        <v>LAZIO</v>
      </c>
      <c r="E247" t="str">
        <f>VLOOKUP($B247,'[1]DB PV ENI'!$A$4:$H$577,4,FALSE)</f>
        <v>ROMA</v>
      </c>
      <c r="F247" t="str">
        <f>VLOOKUP($B247,'[1]DB PV ENI'!$A$4:$H$577,5,FALSE)</f>
        <v>ROMA</v>
      </c>
      <c r="G247" t="str">
        <f>VLOOKUP($B247,'[1]DB PV ENI'!$A$4:$H$577,6,FALSE)</f>
        <v>VIA CASILINA, 930</v>
      </c>
      <c r="H247">
        <v>3</v>
      </c>
      <c r="I247" s="1">
        <v>1</v>
      </c>
      <c r="J247" s="1">
        <v>2</v>
      </c>
      <c r="K247" s="1">
        <v>1</v>
      </c>
      <c r="L247" s="4">
        <v>0.5</v>
      </c>
    </row>
    <row r="248" spans="1:12" x14ac:dyDescent="0.15">
      <c r="A248" s="3" t="s">
        <v>12</v>
      </c>
      <c r="B248">
        <v>3211</v>
      </c>
      <c r="C248" t="str">
        <f>VLOOKUP($B248,'[1]DB PV ENI'!$A$4:$H$577,2,FALSE)</f>
        <v>NORD EST</v>
      </c>
      <c r="D248" t="str">
        <f>VLOOKUP($B248,'[1]DB PV ENI'!$A$4:$H$577,3,FALSE)</f>
        <v>VENETO</v>
      </c>
      <c r="E248" t="str">
        <f>VLOOKUP($B248,'[1]DB PV ENI'!$A$4:$H$577,4,FALSE)</f>
        <v>PADOVA</v>
      </c>
      <c r="F248" t="str">
        <f>VLOOKUP($B248,'[1]DB PV ENI'!$A$4:$H$577,5,FALSE)</f>
        <v>PADOVA</v>
      </c>
      <c r="G248" t="str">
        <f>VLOOKUP($B248,'[1]DB PV ENI'!$A$4:$H$577,6,FALSE)</f>
        <v>LOC. PONTE DI BRENTA SNC</v>
      </c>
      <c r="H248">
        <v>8</v>
      </c>
      <c r="I248" s="1">
        <v>4</v>
      </c>
      <c r="J248" s="1">
        <v>4</v>
      </c>
      <c r="K248" s="1">
        <v>1</v>
      </c>
      <c r="L248" s="4">
        <v>0.25</v>
      </c>
    </row>
    <row r="249" spans="1:12" x14ac:dyDescent="0.15">
      <c r="A249" s="3" t="s">
        <v>12</v>
      </c>
      <c r="B249">
        <v>3276</v>
      </c>
      <c r="C249" t="str">
        <f>VLOOKUP($B249,'[1]DB PV ENI'!$A$4:$H$577,2,FALSE)</f>
        <v>NORD EST</v>
      </c>
      <c r="D249" t="str">
        <f>VLOOKUP($B249,'[1]DB PV ENI'!$A$4:$H$577,3,FALSE)</f>
        <v>VENETO</v>
      </c>
      <c r="E249" t="str">
        <f>VLOOKUP($B249,'[1]DB PV ENI'!$A$4:$H$577,4,FALSE)</f>
        <v>PADOVA</v>
      </c>
      <c r="F249" t="str">
        <f>VLOOKUP($B249,'[1]DB PV ENI'!$A$4:$H$577,5,FALSE)</f>
        <v>PADOVA</v>
      </c>
      <c r="G249" t="str">
        <f>VLOOKUP($B249,'[1]DB PV ENI'!$A$4:$H$577,6,FALSE)</f>
        <v>VIA VICENZA</v>
      </c>
      <c r="H249">
        <v>6</v>
      </c>
      <c r="I249" s="1">
        <v>1</v>
      </c>
      <c r="J249" s="1">
        <v>5</v>
      </c>
      <c r="K249" s="1">
        <v>1</v>
      </c>
      <c r="L249" s="4">
        <v>0.2</v>
      </c>
    </row>
    <row r="250" spans="1:12" x14ac:dyDescent="0.15">
      <c r="A250" s="3" t="s">
        <v>12</v>
      </c>
      <c r="B250">
        <v>3610</v>
      </c>
      <c r="C250" t="str">
        <f>VLOOKUP($B250,'[1]DB PV ENI'!$A$4:$H$577,2,FALSE)</f>
        <v>NORD EST</v>
      </c>
      <c r="D250" t="str">
        <f>VLOOKUP($B250,'[1]DB PV ENI'!$A$4:$H$577,3,FALSE)</f>
        <v>VENETO</v>
      </c>
      <c r="E250" t="str">
        <f>VLOOKUP($B250,'[1]DB PV ENI'!$A$4:$H$577,4,FALSE)</f>
        <v>TREVISO</v>
      </c>
      <c r="F250" t="str">
        <f>VLOOKUP($B250,'[1]DB PV ENI'!$A$4:$H$577,5,FALSE)</f>
        <v>MONTEBELLUNA</v>
      </c>
      <c r="G250" t="str">
        <f>VLOOKUP($B250,'[1]DB PV ENI'!$A$4:$H$577,6,FALSE)</f>
        <v>VIA BASSANESE, 58</v>
      </c>
      <c r="H250">
        <v>9</v>
      </c>
      <c r="I250" s="1">
        <v>5</v>
      </c>
      <c r="J250" s="1">
        <v>4</v>
      </c>
      <c r="K250" s="1">
        <v>1</v>
      </c>
      <c r="L250" s="4">
        <v>0.25</v>
      </c>
    </row>
    <row r="251" spans="1:12" x14ac:dyDescent="0.15">
      <c r="A251" s="3" t="s">
        <v>12</v>
      </c>
      <c r="B251">
        <v>3793</v>
      </c>
      <c r="C251" t="str">
        <f>VLOOKUP($B251,'[1]DB PV ENI'!$A$4:$H$577,2,FALSE)</f>
        <v>NORD EST</v>
      </c>
      <c r="D251" t="str">
        <f>VLOOKUP($B251,'[1]DB PV ENI'!$A$4:$H$577,3,FALSE)</f>
        <v>VENETO</v>
      </c>
      <c r="E251" t="str">
        <f>VLOOKUP($B251,'[1]DB PV ENI'!$A$4:$H$577,4,FALSE)</f>
        <v>VERONA</v>
      </c>
      <c r="F251" t="str">
        <f>VLOOKUP($B251,'[1]DB PV ENI'!$A$4:$H$577,5,FALSE)</f>
        <v>BUSSOLENGO</v>
      </c>
      <c r="G251" t="str">
        <f>VLOOKUP($B251,'[1]DB PV ENI'!$A$4:$H$577,6,FALSE)</f>
        <v>VIA GARDESANA 25</v>
      </c>
      <c r="H251">
        <v>9</v>
      </c>
      <c r="I251" s="1">
        <v>1</v>
      </c>
      <c r="J251" s="1">
        <v>8</v>
      </c>
      <c r="K251" s="1">
        <v>1</v>
      </c>
      <c r="L251" s="4">
        <v>0.125</v>
      </c>
    </row>
    <row r="252" spans="1:12" x14ac:dyDescent="0.15">
      <c r="A252" s="3" t="s">
        <v>12</v>
      </c>
      <c r="B252">
        <v>3817</v>
      </c>
      <c r="C252" t="str">
        <f>VLOOKUP($B252,'[1]DB PV ENI'!$A$4:$H$577,2,FALSE)</f>
        <v>NORD EST</v>
      </c>
      <c r="D252" t="str">
        <f>VLOOKUP($B252,'[1]DB PV ENI'!$A$4:$H$577,3,FALSE)</f>
        <v>VENETO</v>
      </c>
      <c r="E252" t="str">
        <f>VLOOKUP($B252,'[1]DB PV ENI'!$A$4:$H$577,4,FALSE)</f>
        <v>VERONA</v>
      </c>
      <c r="F252" t="str">
        <f>VLOOKUP($B252,'[1]DB PV ENI'!$A$4:$H$577,5,FALSE)</f>
        <v>PESCHIERA DEL GARDA</v>
      </c>
      <c r="G252" t="str">
        <f>VLOOKUP($B252,'[1]DB PV ENI'!$A$4:$H$577,6,FALSE)</f>
        <v>VIA VENEZIA 76</v>
      </c>
      <c r="H252">
        <v>6</v>
      </c>
      <c r="I252" s="1">
        <v>1</v>
      </c>
      <c r="J252" s="1">
        <v>5</v>
      </c>
      <c r="K252" s="1">
        <v>1</v>
      </c>
      <c r="L252" s="4">
        <v>0.2</v>
      </c>
    </row>
    <row r="253" spans="1:12" x14ac:dyDescent="0.15">
      <c r="A253" s="3" t="s">
        <v>12</v>
      </c>
      <c r="B253">
        <v>5982</v>
      </c>
      <c r="C253" t="str">
        <f>VLOOKUP($B253,'[1]DB PV ENI'!$A$4:$H$577,2,FALSE)</f>
        <v>NORD EST</v>
      </c>
      <c r="D253" t="str">
        <f>VLOOKUP($B253,'[1]DB PV ENI'!$A$4:$H$577,3,FALSE)</f>
        <v>EMILIA-ROMAGNA</v>
      </c>
      <c r="E253" t="str">
        <f>VLOOKUP($B253,'[1]DB PV ENI'!$A$4:$H$577,4,FALSE)</f>
        <v>RIMINI</v>
      </c>
      <c r="F253" t="str">
        <f>VLOOKUP($B253,'[1]DB PV ENI'!$A$4:$H$577,5,FALSE)</f>
        <v>RIMINI</v>
      </c>
      <c r="G253" t="str">
        <f>VLOOKUP($B253,'[1]DB PV ENI'!$A$4:$H$577,6,FALSE)</f>
        <v>MARECCHIESE LOC SPAD</v>
      </c>
      <c r="H253">
        <v>8</v>
      </c>
      <c r="I253" s="1">
        <v>6</v>
      </c>
      <c r="J253" s="1">
        <v>2</v>
      </c>
      <c r="K253" s="1">
        <v>1</v>
      </c>
      <c r="L253" s="4">
        <v>0.5</v>
      </c>
    </row>
    <row r="254" spans="1:12" x14ac:dyDescent="0.15">
      <c r="A254" s="3" t="s">
        <v>12</v>
      </c>
      <c r="B254">
        <v>6101</v>
      </c>
      <c r="C254" t="str">
        <f>VLOOKUP($B254,'[1]DB PV ENI'!$A$4:$H$577,2,FALSE)</f>
        <v>NORD EST</v>
      </c>
      <c r="D254" t="str">
        <f>VLOOKUP($B254,'[1]DB PV ENI'!$A$4:$H$577,3,FALSE)</f>
        <v>MARCHE</v>
      </c>
      <c r="E254" t="str">
        <f>VLOOKUP($B254,'[1]DB PV ENI'!$A$4:$H$577,4,FALSE)</f>
        <v>PESARO E URBINO</v>
      </c>
      <c r="F254" t="str">
        <f>VLOOKUP($B254,'[1]DB PV ENI'!$A$4:$H$577,5,FALSE)</f>
        <v>GABICCE MARE</v>
      </c>
      <c r="G254" t="str">
        <f>VLOOKUP($B254,'[1]DB PV ENI'!$A$4:$H$577,6,FALSE)</f>
        <v>S.S.16 KM 223+532 LOC.TA' PONTE TAVOLLO  S.N.</v>
      </c>
      <c r="H254">
        <v>7</v>
      </c>
      <c r="I254" s="1">
        <v>1</v>
      </c>
      <c r="J254" s="1">
        <v>6</v>
      </c>
      <c r="K254" s="1">
        <v>1</v>
      </c>
      <c r="L254" s="4">
        <v>0.16666666666666666</v>
      </c>
    </row>
    <row r="255" spans="1:12" x14ac:dyDescent="0.15">
      <c r="A255" s="3" t="s">
        <v>12</v>
      </c>
      <c r="B255">
        <v>17315</v>
      </c>
      <c r="C255" t="str">
        <f>VLOOKUP($B255,'[1]DB PV ENI'!$A$4:$H$577,2,FALSE)</f>
        <v>NORD EST</v>
      </c>
      <c r="D255" t="str">
        <f>VLOOKUP($B255,'[1]DB PV ENI'!$A$4:$H$577,3,FALSE)</f>
        <v>MARCHE</v>
      </c>
      <c r="E255" t="str">
        <f>VLOOKUP($B255,'[1]DB PV ENI'!$A$4:$H$577,4,FALSE)</f>
        <v>ASCOLI PICENO</v>
      </c>
      <c r="F255" t="str">
        <f>VLOOKUP($B255,'[1]DB PV ENI'!$A$4:$H$577,5,FALSE)</f>
        <v>SAN BENEDETTO DEL TRONTO</v>
      </c>
      <c r="G255" t="str">
        <f>VLOOKUP($B255,'[1]DB PV ENI'!$A$4:$H$577,6,FALSE)</f>
        <v>S.PROV.ALLACCIANTE</v>
      </c>
      <c r="H255">
        <v>4</v>
      </c>
      <c r="I255" s="1">
        <v>3</v>
      </c>
      <c r="J255" s="1">
        <v>1</v>
      </c>
      <c r="K255" s="1">
        <v>1</v>
      </c>
      <c r="L255" s="4">
        <v>1</v>
      </c>
    </row>
    <row r="256" spans="1:12" x14ac:dyDescent="0.15">
      <c r="A256" s="3" t="s">
        <v>12</v>
      </c>
      <c r="B256">
        <v>22966</v>
      </c>
      <c r="C256" t="str">
        <f>VLOOKUP($B256,'[1]DB PV ENI'!$A$4:$H$577,2,FALSE)</f>
        <v>NORD EST</v>
      </c>
      <c r="D256" t="str">
        <f>VLOOKUP($B256,'[1]DB PV ENI'!$A$4:$H$577,3,FALSE)</f>
        <v>EMILIA-ROMAGNA</v>
      </c>
      <c r="E256" t="str">
        <f>VLOOKUP($B256,'[1]DB PV ENI'!$A$4:$H$577,4,FALSE)</f>
        <v>PARMA</v>
      </c>
      <c r="F256" t="str">
        <f>VLOOKUP($B256,'[1]DB PV ENI'!$A$4:$H$577,5,FALSE)</f>
        <v>BERCETO</v>
      </c>
      <c r="G256" t="str">
        <f>VLOOKUP($B256,'[1]DB PV ENI'!$A$4:$H$577,6,FALSE)</f>
        <v>SS 308 KM. 20+148 LOC. GHIARE</v>
      </c>
      <c r="H256">
        <v>2</v>
      </c>
      <c r="I256" s="1">
        <v>1</v>
      </c>
      <c r="J256" s="1">
        <v>1</v>
      </c>
      <c r="K256" s="1">
        <v>1</v>
      </c>
      <c r="L256" s="4">
        <v>1</v>
      </c>
    </row>
    <row r="257" spans="1:12" x14ac:dyDescent="0.15">
      <c r="A257" s="3" t="s">
        <v>12</v>
      </c>
      <c r="B257">
        <v>25556</v>
      </c>
      <c r="C257" t="str">
        <f>VLOOKUP($B257,'[1]DB PV ENI'!$A$4:$H$577,2,FALSE)</f>
        <v>NORD EST</v>
      </c>
      <c r="D257" t="str">
        <f>VLOOKUP($B257,'[1]DB PV ENI'!$A$4:$H$577,3,FALSE)</f>
        <v>EMILIA-ROMAGNA</v>
      </c>
      <c r="E257" t="str">
        <f>VLOOKUP($B257,'[1]DB PV ENI'!$A$4:$H$577,4,FALSE)</f>
        <v>BOLOGNA</v>
      </c>
      <c r="F257" t="str">
        <f>VLOOKUP($B257,'[1]DB PV ENI'!$A$4:$H$577,5,FALSE)</f>
        <v>BOLOGNA</v>
      </c>
      <c r="G257" t="str">
        <f>VLOOKUP($B257,'[1]DB PV ENI'!$A$4:$H$577,6,FALSE)</f>
        <v>VIALE DELL'INDUSTRIA 44</v>
      </c>
      <c r="H257">
        <v>15</v>
      </c>
      <c r="I257" s="1">
        <v>3</v>
      </c>
      <c r="J257" s="1">
        <v>12</v>
      </c>
      <c r="K257" s="1">
        <v>1</v>
      </c>
      <c r="L257" s="4">
        <v>8.3333333333333329E-2</v>
      </c>
    </row>
    <row r="258" spans="1:12" x14ac:dyDescent="0.15">
      <c r="A258" s="3" t="s">
        <v>12</v>
      </c>
      <c r="B258">
        <v>51516</v>
      </c>
      <c r="C258" t="str">
        <f>VLOOKUP($B258,'[1]DB PV ENI'!$A$4:$H$577,2,FALSE)</f>
        <v>NORD EST</v>
      </c>
      <c r="D258" t="str">
        <f>VLOOKUP($B258,'[1]DB PV ENI'!$A$4:$H$577,3,FALSE)</f>
        <v>VENETO</v>
      </c>
      <c r="E258" t="str">
        <f>VLOOKUP($B258,'[1]DB PV ENI'!$A$4:$H$577,4,FALSE)</f>
        <v>VERONA</v>
      </c>
      <c r="F258" t="str">
        <f>VLOOKUP($B258,'[1]DB PV ENI'!$A$4:$H$577,5,FALSE)</f>
        <v>VILLAFRANCA DI VERONA</v>
      </c>
      <c r="G258" t="str">
        <f>VLOOKUP($B258,'[1]DB PV ENI'!$A$4:$H$577,6,FALSE)</f>
        <v>VIA POSTUMIA N.  86</v>
      </c>
      <c r="H258">
        <v>7</v>
      </c>
      <c r="I258" s="1">
        <v>4</v>
      </c>
      <c r="J258" s="1">
        <v>3</v>
      </c>
      <c r="K258" s="1">
        <v>1</v>
      </c>
      <c r="L258" s="4">
        <v>0.33333333333333331</v>
      </c>
    </row>
    <row r="259" spans="1:12" x14ac:dyDescent="0.15">
      <c r="A259" s="3" t="s">
        <v>12</v>
      </c>
      <c r="B259">
        <v>52834</v>
      </c>
      <c r="C259" t="str">
        <f>VLOOKUP($B259,'[1]DB PV ENI'!$A$4:$H$577,2,FALSE)</f>
        <v>NORD EST</v>
      </c>
      <c r="D259" t="str">
        <f>VLOOKUP($B259,'[1]DB PV ENI'!$A$4:$H$577,3,FALSE)</f>
        <v>FRIULI VENEZIA GIULIA</v>
      </c>
      <c r="E259" t="str">
        <f>VLOOKUP($B259,'[1]DB PV ENI'!$A$4:$H$577,4,FALSE)</f>
        <v>UDINE</v>
      </c>
      <c r="F259" t="str">
        <f>VLOOKUP($B259,'[1]DB PV ENI'!$A$4:$H$577,5,FALSE)</f>
        <v>UDINE</v>
      </c>
      <c r="G259" t="str">
        <f>VLOOKUP($B259,'[1]DB PV ENI'!$A$4:$H$577,6,FALSE)</f>
        <v>VIALE MONSIGNORE GIUSEPPE NOGARA 92</v>
      </c>
      <c r="H259">
        <v>7</v>
      </c>
      <c r="I259" s="1">
        <v>1</v>
      </c>
      <c r="J259" s="1">
        <v>6</v>
      </c>
      <c r="K259" s="1">
        <v>1</v>
      </c>
      <c r="L259" s="4">
        <v>0.16666666666666666</v>
      </c>
    </row>
    <row r="260" spans="1:12" x14ac:dyDescent="0.15">
      <c r="A260" s="3" t="s">
        <v>12</v>
      </c>
      <c r="B260">
        <v>53877</v>
      </c>
      <c r="C260" t="str">
        <f>VLOOKUP($B260,'[1]DB PV ENI'!$A$4:$H$577,2,FALSE)</f>
        <v>NORD EST</v>
      </c>
      <c r="D260" t="str">
        <f>VLOOKUP($B260,'[1]DB PV ENI'!$A$4:$H$577,3,FALSE)</f>
        <v>MARCHE</v>
      </c>
      <c r="E260" t="str">
        <f>VLOOKUP($B260,'[1]DB PV ENI'!$A$4:$H$577,4,FALSE)</f>
        <v>FERMO</v>
      </c>
      <c r="F260" t="str">
        <f>VLOOKUP($B260,'[1]DB PV ENI'!$A$4:$H$577,5,FALSE)</f>
        <v>FERMO</v>
      </c>
      <c r="G260" t="str">
        <f>VLOOKUP($B260,'[1]DB PV ENI'!$A$4:$H$577,6,FALSE)</f>
        <v>VIA NAZIONALE 7 LOC.LIDO</v>
      </c>
      <c r="H260">
        <v>4</v>
      </c>
      <c r="I260" s="1">
        <v>2</v>
      </c>
      <c r="J260" s="1">
        <v>2</v>
      </c>
      <c r="K260" s="1">
        <v>1</v>
      </c>
      <c r="L260" s="4">
        <v>0.5</v>
      </c>
    </row>
    <row r="261" spans="1:12" x14ac:dyDescent="0.15">
      <c r="A261" s="3" t="s">
        <v>12</v>
      </c>
      <c r="B261">
        <v>54498</v>
      </c>
      <c r="C261" t="str">
        <f>VLOOKUP($B261,'[1]DB PV ENI'!$A$4:$H$577,2,FALSE)</f>
        <v>NORD EST</v>
      </c>
      <c r="D261" t="str">
        <f>VLOOKUP($B261,'[1]DB PV ENI'!$A$4:$H$577,3,FALSE)</f>
        <v>EMILIA-ROMAGNA</v>
      </c>
      <c r="E261" t="str">
        <f>VLOOKUP($B261,'[1]DB PV ENI'!$A$4:$H$577,4,FALSE)</f>
        <v>BOLOGNA</v>
      </c>
      <c r="F261" t="str">
        <f>VLOOKUP($B261,'[1]DB PV ENI'!$A$4:$H$577,5,FALSE)</f>
        <v>BOLOGNA</v>
      </c>
      <c r="G261" t="str">
        <f>VLOOKUP($B261,'[1]DB PV ENI'!$A$4:$H$577,6,FALSE)</f>
        <v>VIA FERRARESE 166</v>
      </c>
      <c r="H261">
        <v>6</v>
      </c>
      <c r="I261" s="1">
        <v>3</v>
      </c>
      <c r="J261" s="1">
        <v>3</v>
      </c>
      <c r="K261" s="1">
        <v>1</v>
      </c>
      <c r="L261" s="4">
        <v>0.33333333333333331</v>
      </c>
    </row>
    <row r="262" spans="1:12" x14ac:dyDescent="0.15">
      <c r="A262" s="3" t="s">
        <v>12</v>
      </c>
      <c r="B262">
        <v>591</v>
      </c>
      <c r="C262" t="str">
        <f>VLOOKUP($B262,'[1]DB PV ENI'!$A$4:$H$577,2,FALSE)</f>
        <v>NORD OVEST</v>
      </c>
      <c r="D262" t="str">
        <f>VLOOKUP($B262,'[1]DB PV ENI'!$A$4:$H$577,3,FALSE)</f>
        <v>PIEMONTE</v>
      </c>
      <c r="E262" t="str">
        <f>VLOOKUP($B262,'[1]DB PV ENI'!$A$4:$H$577,4,FALSE)</f>
        <v>TORINO</v>
      </c>
      <c r="F262" t="str">
        <f>VLOOKUP($B262,'[1]DB PV ENI'!$A$4:$H$577,5,FALSE)</f>
        <v>TORINO</v>
      </c>
      <c r="G262" t="str">
        <f>VLOOKUP($B262,'[1]DB PV ENI'!$A$4:$H$577,6,FALSE)</f>
        <v>VIA BOTTICELLI 62/A - VIA BOTTICELLI ADIACENTE 60 62/A</v>
      </c>
      <c r="H262">
        <v>16</v>
      </c>
      <c r="I262" s="1">
        <v>4</v>
      </c>
      <c r="J262" s="1">
        <v>12</v>
      </c>
      <c r="K262" s="1">
        <v>1</v>
      </c>
      <c r="L262" s="4">
        <v>8.3333333333333329E-2</v>
      </c>
    </row>
    <row r="263" spans="1:12" x14ac:dyDescent="0.15">
      <c r="A263" s="3" t="s">
        <v>12</v>
      </c>
      <c r="B263">
        <v>978</v>
      </c>
      <c r="C263" t="str">
        <f>VLOOKUP($B263,'[1]DB PV ENI'!$A$4:$H$577,2,FALSE)</f>
        <v>NORD OVEST</v>
      </c>
      <c r="D263" t="str">
        <f>VLOOKUP($B263,'[1]DB PV ENI'!$A$4:$H$577,3,FALSE)</f>
        <v>PIEMONTE</v>
      </c>
      <c r="E263" t="str">
        <f>VLOOKUP($B263,'[1]DB PV ENI'!$A$4:$H$577,4,FALSE)</f>
        <v>TORINO</v>
      </c>
      <c r="F263" t="str">
        <f>VLOOKUP($B263,'[1]DB PV ENI'!$A$4:$H$577,5,FALSE)</f>
        <v>COLLEGNO</v>
      </c>
      <c r="G263" t="str">
        <f>VLOOKUP($B263,'[1]DB PV ENI'!$A$4:$H$577,6,FALSE)</f>
        <v>C.SO SACCO E VANZETTI  (DIR. SUD)  9</v>
      </c>
      <c r="H263">
        <v>4</v>
      </c>
      <c r="I263" s="1">
        <v>1</v>
      </c>
      <c r="J263" s="1">
        <v>3</v>
      </c>
      <c r="K263" s="1">
        <v>1</v>
      </c>
      <c r="L263" s="4">
        <v>0.33333333333333331</v>
      </c>
    </row>
    <row r="264" spans="1:12" x14ac:dyDescent="0.15">
      <c r="A264" s="3" t="s">
        <v>12</v>
      </c>
      <c r="B264">
        <v>991</v>
      </c>
      <c r="C264" t="str">
        <f>VLOOKUP($B264,'[1]DB PV ENI'!$A$4:$H$577,2,FALSE)</f>
        <v>NORD OVEST</v>
      </c>
      <c r="D264" t="str">
        <f>VLOOKUP($B264,'[1]DB PV ENI'!$A$4:$H$577,3,FALSE)</f>
        <v>PIEMONTE</v>
      </c>
      <c r="E264" t="str">
        <f>VLOOKUP($B264,'[1]DB PV ENI'!$A$4:$H$577,4,FALSE)</f>
        <v>TORINO</v>
      </c>
      <c r="F264" t="str">
        <f>VLOOKUP($B264,'[1]DB PV ENI'!$A$4:$H$577,5,FALSE)</f>
        <v>ROLETTO</v>
      </c>
      <c r="G264" t="str">
        <f>VLOOKUP($B264,'[1]DB PV ENI'!$A$4:$H$577,6,FALSE)</f>
        <v>S.S. 589 KM. 27+770</v>
      </c>
      <c r="H264">
        <v>9</v>
      </c>
      <c r="I264" s="1">
        <v>2</v>
      </c>
      <c r="J264" s="1">
        <v>7</v>
      </c>
      <c r="K264" s="1">
        <v>1</v>
      </c>
      <c r="L264" s="4">
        <v>0.14285714285714285</v>
      </c>
    </row>
    <row r="265" spans="1:12" x14ac:dyDescent="0.15">
      <c r="A265" s="3" t="s">
        <v>12</v>
      </c>
      <c r="B265">
        <v>1043</v>
      </c>
      <c r="C265" t="str">
        <f>VLOOKUP($B265,'[1]DB PV ENI'!$A$4:$H$577,2,FALSE)</f>
        <v>NORD OVEST</v>
      </c>
      <c r="D265" t="str">
        <f>VLOOKUP($B265,'[1]DB PV ENI'!$A$4:$H$577,3,FALSE)</f>
        <v>LIGURIA</v>
      </c>
      <c r="E265" t="str">
        <f>VLOOKUP($B265,'[1]DB PV ENI'!$A$4:$H$577,4,FALSE)</f>
        <v>GENOVA</v>
      </c>
      <c r="F265" t="str">
        <f>VLOOKUP($B265,'[1]DB PV ENI'!$A$4:$H$577,5,FALSE)</f>
        <v>GENOVA</v>
      </c>
      <c r="G265" t="str">
        <f>VLOOKUP($B265,'[1]DB PV ENI'!$A$4:$H$577,6,FALSE)</f>
        <v>VIA RIGHETTI 1 R</v>
      </c>
      <c r="H265">
        <v>8</v>
      </c>
      <c r="I265" s="1">
        <v>3</v>
      </c>
      <c r="J265" s="1">
        <v>5</v>
      </c>
      <c r="K265" s="1">
        <v>1</v>
      </c>
      <c r="L265" s="4">
        <v>0.2</v>
      </c>
    </row>
    <row r="266" spans="1:12" x14ac:dyDescent="0.15">
      <c r="A266" s="3" t="s">
        <v>12</v>
      </c>
      <c r="B266">
        <v>1378</v>
      </c>
      <c r="C266" t="str">
        <f>VLOOKUP($B266,'[1]DB PV ENI'!$A$4:$H$577,2,FALSE)</f>
        <v>NORD OVEST</v>
      </c>
      <c r="D266" t="str">
        <f>VLOOKUP($B266,'[1]DB PV ENI'!$A$4:$H$577,3,FALSE)</f>
        <v>LIGURIA</v>
      </c>
      <c r="E266" t="str">
        <f>VLOOKUP($B266,'[1]DB PV ENI'!$A$4:$H$577,4,FALSE)</f>
        <v>SAVONA</v>
      </c>
      <c r="F266" t="str">
        <f>VLOOKUP($B266,'[1]DB PV ENI'!$A$4:$H$577,5,FALSE)</f>
        <v>CARCARE</v>
      </c>
      <c r="G266" t="str">
        <f>VLOOKUP($B266,'[1]DB PV ENI'!$A$4:$H$577,6,FALSE)</f>
        <v>VIA VITTORIO VENETO 52</v>
      </c>
      <c r="H266">
        <v>11</v>
      </c>
      <c r="I266" s="1">
        <v>4</v>
      </c>
      <c r="J266" s="1">
        <v>7</v>
      </c>
      <c r="K266" s="1">
        <v>1</v>
      </c>
      <c r="L266" s="4">
        <v>0.14285714285714285</v>
      </c>
    </row>
    <row r="267" spans="1:12" x14ac:dyDescent="0.15">
      <c r="A267" s="3" t="s">
        <v>12</v>
      </c>
      <c r="B267">
        <v>1676</v>
      </c>
      <c r="C267" t="str">
        <f>VLOOKUP($B267,'[1]DB PV ENI'!$A$4:$H$577,2,FALSE)</f>
        <v>NORD OVEST</v>
      </c>
      <c r="D267" t="str">
        <f>VLOOKUP($B267,'[1]DB PV ENI'!$A$4:$H$577,3,FALSE)</f>
        <v>LOMBARDIA</v>
      </c>
      <c r="E267" t="str">
        <f>VLOOKUP($B267,'[1]DB PV ENI'!$A$4:$H$577,4,FALSE)</f>
        <v>BRESCIA</v>
      </c>
      <c r="F267" t="str">
        <f>VLOOKUP($B267,'[1]DB PV ENI'!$A$4:$H$577,5,FALSE)</f>
        <v>DESENZANO DEL GARDA</v>
      </c>
      <c r="G267" t="str">
        <f>VLOOKUP($B267,'[1]DB PV ENI'!$A$4:$H$577,6,FALSE)</f>
        <v>VIA MARCONI</v>
      </c>
      <c r="H267">
        <v>33</v>
      </c>
      <c r="I267" s="1">
        <v>7</v>
      </c>
      <c r="J267" s="1">
        <v>26</v>
      </c>
      <c r="K267" s="1">
        <v>1</v>
      </c>
      <c r="L267" s="4">
        <v>3.8461538461538464E-2</v>
      </c>
    </row>
    <row r="268" spans="1:12" x14ac:dyDescent="0.15">
      <c r="A268" s="3" t="s">
        <v>12</v>
      </c>
      <c r="B268">
        <v>1679</v>
      </c>
      <c r="C268" t="str">
        <f>VLOOKUP($B268,'[1]DB PV ENI'!$A$4:$H$577,2,FALSE)</f>
        <v>NORD OVEST</v>
      </c>
      <c r="D268" t="str">
        <f>VLOOKUP($B268,'[1]DB PV ENI'!$A$4:$H$577,3,FALSE)</f>
        <v>LOMBARDIA</v>
      </c>
      <c r="E268" t="str">
        <f>VLOOKUP($B268,'[1]DB PV ENI'!$A$4:$H$577,4,FALSE)</f>
        <v>BRESCIA</v>
      </c>
      <c r="F268" t="str">
        <f>VLOOKUP($B268,'[1]DB PV ENI'!$A$4:$H$577,5,FALSE)</f>
        <v>EDOLO</v>
      </c>
      <c r="G268" t="str">
        <f>VLOOKUP($B268,'[1]DB PV ENI'!$A$4:$H$577,6,FALSE)</f>
        <v>SS 42 KM 117+560</v>
      </c>
      <c r="H268">
        <v>10</v>
      </c>
      <c r="I268" s="1">
        <v>4</v>
      </c>
      <c r="J268" s="1">
        <v>6</v>
      </c>
      <c r="K268" s="1">
        <v>1</v>
      </c>
      <c r="L268" s="4">
        <v>0.16666666666666666</v>
      </c>
    </row>
    <row r="269" spans="1:12" x14ac:dyDescent="0.15">
      <c r="A269" s="3" t="s">
        <v>12</v>
      </c>
      <c r="B269">
        <v>1717</v>
      </c>
      <c r="C269" t="str">
        <f>VLOOKUP($B269,'[1]DB PV ENI'!$A$4:$H$577,2,FALSE)</f>
        <v>NORD OVEST</v>
      </c>
      <c r="D269" t="str">
        <f>VLOOKUP($B269,'[1]DB PV ENI'!$A$4:$H$577,3,FALSE)</f>
        <v>LOMBARDIA</v>
      </c>
      <c r="E269" t="str">
        <f>VLOOKUP($B269,'[1]DB PV ENI'!$A$4:$H$577,4,FALSE)</f>
        <v>BRESCIA</v>
      </c>
      <c r="F269" t="str">
        <f>VLOOKUP($B269,'[1]DB PV ENI'!$A$4:$H$577,5,FALSE)</f>
        <v>PAITONE</v>
      </c>
      <c r="G269" t="str">
        <f>VLOOKUP($B269,'[1]DB PV ENI'!$A$4:$H$577,6,FALSE)</f>
        <v>SS 45 BIS KM 55+370</v>
      </c>
      <c r="H269">
        <v>8</v>
      </c>
      <c r="I269" s="1">
        <v>3</v>
      </c>
      <c r="J269" s="1">
        <v>5</v>
      </c>
      <c r="K269" s="1">
        <v>1</v>
      </c>
      <c r="L269" s="4">
        <v>0.2</v>
      </c>
    </row>
    <row r="270" spans="1:12" x14ac:dyDescent="0.15">
      <c r="A270" s="3" t="s">
        <v>12</v>
      </c>
      <c r="B270">
        <v>1968</v>
      </c>
      <c r="C270" t="str">
        <f>VLOOKUP($B270,'[1]DB PV ENI'!$A$4:$H$577,2,FALSE)</f>
        <v>NORD OVEST</v>
      </c>
      <c r="D270" t="str">
        <f>VLOOKUP($B270,'[1]DB PV ENI'!$A$4:$H$577,3,FALSE)</f>
        <v>LOMBARDIA</v>
      </c>
      <c r="E270" t="str">
        <f>VLOOKUP($B270,'[1]DB PV ENI'!$A$4:$H$577,4,FALSE)</f>
        <v>CREMONA</v>
      </c>
      <c r="F270" t="str">
        <f>VLOOKUP($B270,'[1]DB PV ENI'!$A$4:$H$577,5,FALSE)</f>
        <v>CREMONA</v>
      </c>
      <c r="G270" t="str">
        <f>VLOOKUP($B270,'[1]DB PV ENI'!$A$4:$H$577,6,FALSE)</f>
        <v>MANTOVA SS 10</v>
      </c>
      <c r="H270">
        <v>14</v>
      </c>
      <c r="I270" s="1">
        <v>4</v>
      </c>
      <c r="J270" s="1">
        <v>10</v>
      </c>
      <c r="K270" s="1">
        <v>1</v>
      </c>
      <c r="L270" s="4">
        <v>0.1</v>
      </c>
    </row>
    <row r="271" spans="1:12" x14ac:dyDescent="0.15">
      <c r="A271" s="3" t="s">
        <v>12</v>
      </c>
      <c r="B271">
        <v>2074</v>
      </c>
      <c r="C271" t="str">
        <f>VLOOKUP($B271,'[1]DB PV ENI'!$A$4:$H$577,2,FALSE)</f>
        <v>NORD OVEST</v>
      </c>
      <c r="D271" t="str">
        <f>VLOOKUP($B271,'[1]DB PV ENI'!$A$4:$H$577,3,FALSE)</f>
        <v>LOMBARDIA</v>
      </c>
      <c r="E271" t="str">
        <f>VLOOKUP($B271,'[1]DB PV ENI'!$A$4:$H$577,4,FALSE)</f>
        <v>MANTOVA</v>
      </c>
      <c r="F271" t="str">
        <f>VLOOKUP($B271,'[1]DB PV ENI'!$A$4:$H$577,5,FALSE)</f>
        <v>GOITO</v>
      </c>
      <c r="G271" t="str">
        <f>VLOOKUP($B271,'[1]DB PV ENI'!$A$4:$H$577,6,FALSE)</f>
        <v>S.S. N. 236 KM 14+332</v>
      </c>
      <c r="H271">
        <v>4</v>
      </c>
      <c r="I271" s="1">
        <v>1</v>
      </c>
      <c r="J271" s="1">
        <v>3</v>
      </c>
      <c r="K271" s="1">
        <v>1</v>
      </c>
      <c r="L271" s="4">
        <v>0.33333333333333331</v>
      </c>
    </row>
    <row r="272" spans="1:12" x14ac:dyDescent="0.15">
      <c r="A272" s="3" t="s">
        <v>12</v>
      </c>
      <c r="B272">
        <v>2075</v>
      </c>
      <c r="C272" t="str">
        <f>VLOOKUP($B272,'[1]DB PV ENI'!$A$4:$H$577,2,FALSE)</f>
        <v>NORD OVEST</v>
      </c>
      <c r="D272" t="str">
        <f>VLOOKUP($B272,'[1]DB PV ENI'!$A$4:$H$577,3,FALSE)</f>
        <v>LOMBARDIA</v>
      </c>
      <c r="E272" t="str">
        <f>VLOOKUP($B272,'[1]DB PV ENI'!$A$4:$H$577,4,FALSE)</f>
        <v>MANTOVA</v>
      </c>
      <c r="F272" t="str">
        <f>VLOOKUP($B272,'[1]DB PV ENI'!$A$4:$H$577,5,FALSE)</f>
        <v>SUZZARA</v>
      </c>
      <c r="G272" t="str">
        <f>VLOOKUP($B272,'[1]DB PV ENI'!$A$4:$H$577,6,FALSE)</f>
        <v>S.S. N. 62 CISA - LOCALITA' CROCILE C.M.</v>
      </c>
      <c r="H272">
        <v>12</v>
      </c>
      <c r="I272" s="1">
        <v>1</v>
      </c>
      <c r="J272" s="1">
        <v>11</v>
      </c>
      <c r="K272" s="1">
        <v>1</v>
      </c>
      <c r="L272" s="4">
        <v>9.0909090909090912E-2</v>
      </c>
    </row>
    <row r="273" spans="1:12" x14ac:dyDescent="0.15">
      <c r="A273" s="3" t="s">
        <v>12</v>
      </c>
      <c r="B273">
        <v>2151</v>
      </c>
      <c r="C273" t="str">
        <f>VLOOKUP($B273,'[1]DB PV ENI'!$A$4:$H$577,2,FALSE)</f>
        <v>NORD OVEST</v>
      </c>
      <c r="D273" t="str">
        <f>VLOOKUP($B273,'[1]DB PV ENI'!$A$4:$H$577,3,FALSE)</f>
        <v>LOMBARDIA</v>
      </c>
      <c r="E273" t="str">
        <f>VLOOKUP($B273,'[1]DB PV ENI'!$A$4:$H$577,4,FALSE)</f>
        <v>MONZA E DELLA BRIANZA</v>
      </c>
      <c r="F273" t="str">
        <f>VLOOKUP($B273,'[1]DB PV ENI'!$A$4:$H$577,5,FALSE)</f>
        <v>AGRATE BRIANZA</v>
      </c>
      <c r="G273" t="str">
        <f>VLOOKUP($B273,'[1]DB PV ENI'!$A$4:$H$577,6,FALSE)</f>
        <v>VIA MATTEOTTI 133</v>
      </c>
      <c r="H273">
        <v>46</v>
      </c>
      <c r="I273" s="1">
        <v>14</v>
      </c>
      <c r="J273" s="1">
        <v>32</v>
      </c>
      <c r="K273" s="1">
        <v>1</v>
      </c>
      <c r="L273" s="4">
        <v>3.125E-2</v>
      </c>
    </row>
    <row r="274" spans="1:12" x14ac:dyDescent="0.15">
      <c r="A274" s="3" t="s">
        <v>12</v>
      </c>
      <c r="B274">
        <v>2308</v>
      </c>
      <c r="C274" t="str">
        <f>VLOOKUP($B274,'[1]DB PV ENI'!$A$4:$H$577,2,FALSE)</f>
        <v>NORD OVEST</v>
      </c>
      <c r="D274" t="str">
        <f>VLOOKUP($B274,'[1]DB PV ENI'!$A$4:$H$577,3,FALSE)</f>
        <v>LOMBARDIA</v>
      </c>
      <c r="E274" t="str">
        <f>VLOOKUP($B274,'[1]DB PV ENI'!$A$4:$H$577,4,FALSE)</f>
        <v>MILANO</v>
      </c>
      <c r="F274" t="str">
        <f>VLOOKUP($B274,'[1]DB PV ENI'!$A$4:$H$577,5,FALSE)</f>
        <v>LEGNANO</v>
      </c>
      <c r="G274" t="str">
        <f>VLOOKUP($B274,'[1]DB PV ENI'!$A$4:$H$577,6,FALSE)</f>
        <v>VIALE L. CADORNA 60</v>
      </c>
      <c r="H274">
        <v>36</v>
      </c>
      <c r="I274" s="1">
        <v>7</v>
      </c>
      <c r="J274" s="1">
        <v>29</v>
      </c>
      <c r="K274" s="1">
        <v>1</v>
      </c>
      <c r="L274" s="4">
        <v>3.4482758620689655E-2</v>
      </c>
    </row>
    <row r="275" spans="1:12" x14ac:dyDescent="0.15">
      <c r="A275" s="3" t="s">
        <v>12</v>
      </c>
      <c r="B275">
        <v>2566</v>
      </c>
      <c r="C275" t="str">
        <f>VLOOKUP($B275,'[1]DB PV ENI'!$A$4:$H$577,2,FALSE)</f>
        <v>NORD OVEST</v>
      </c>
      <c r="D275" t="str">
        <f>VLOOKUP($B275,'[1]DB PV ENI'!$A$4:$H$577,3,FALSE)</f>
        <v>LOMBARDIA</v>
      </c>
      <c r="E275" t="str">
        <f>VLOOKUP($B275,'[1]DB PV ENI'!$A$4:$H$577,4,FALSE)</f>
        <v>PAVIA</v>
      </c>
      <c r="F275" t="str">
        <f>VLOOKUP($B275,'[1]DB PV ENI'!$A$4:$H$577,5,FALSE)</f>
        <v>PAVIA</v>
      </c>
      <c r="G275" t="str">
        <f>VLOOKUP($B275,'[1]DB PV ENI'!$A$4:$H$577,6,FALSE)</f>
        <v>VAI CAMILLO CAMPARI</v>
      </c>
      <c r="H275">
        <v>23</v>
      </c>
      <c r="I275" s="1">
        <v>5</v>
      </c>
      <c r="J275" s="1">
        <v>18</v>
      </c>
      <c r="K275" s="1">
        <v>1</v>
      </c>
      <c r="L275" s="4">
        <v>5.5555555555555552E-2</v>
      </c>
    </row>
    <row r="276" spans="1:12" x14ac:dyDescent="0.15">
      <c r="A276" s="3" t="s">
        <v>12</v>
      </c>
      <c r="B276">
        <v>11726</v>
      </c>
      <c r="C276" t="str">
        <f>VLOOKUP($B276,'[1]DB PV ENI'!$A$4:$H$577,2,FALSE)</f>
        <v>NORD OVEST</v>
      </c>
      <c r="D276" t="str">
        <f>VLOOKUP($B276,'[1]DB PV ENI'!$A$4:$H$577,3,FALSE)</f>
        <v>LOMBARDIA</v>
      </c>
      <c r="E276" t="str">
        <f>VLOOKUP($B276,'[1]DB PV ENI'!$A$4:$H$577,4,FALSE)</f>
        <v>BRESCIA</v>
      </c>
      <c r="F276" t="str">
        <f>VLOOKUP($B276,'[1]DB PV ENI'!$A$4:$H$577,5,FALSE)</f>
        <v>REZZATO</v>
      </c>
      <c r="G276" t="str">
        <f>VLOOKUP($B276,'[1]DB PV ENI'!$A$4:$H$577,6,FALSE)</f>
        <v>S.S.45 KM.49+300</v>
      </c>
      <c r="H276">
        <v>3</v>
      </c>
      <c r="I276" s="1">
        <v>2</v>
      </c>
      <c r="J276" s="1">
        <v>1</v>
      </c>
      <c r="K276" s="1">
        <v>1</v>
      </c>
      <c r="L276" s="4">
        <v>1</v>
      </c>
    </row>
    <row r="277" spans="1:12" x14ac:dyDescent="0.15">
      <c r="A277" s="3" t="s">
        <v>12</v>
      </c>
      <c r="B277">
        <v>51037</v>
      </c>
      <c r="C277" t="str">
        <f>VLOOKUP($B277,'[1]DB PV ENI'!$A$4:$H$577,2,FALSE)</f>
        <v>NORD OVEST</v>
      </c>
      <c r="D277" t="str">
        <f>VLOOKUP($B277,'[1]DB PV ENI'!$A$4:$H$577,3,FALSE)</f>
        <v>PIEMONTE</v>
      </c>
      <c r="E277" t="str">
        <f>VLOOKUP($B277,'[1]DB PV ENI'!$A$4:$H$577,4,FALSE)</f>
        <v>ALESSANDRIA</v>
      </c>
      <c r="F277" t="str">
        <f>VLOOKUP($B277,'[1]DB PV ENI'!$A$4:$H$577,5,FALSE)</f>
        <v>ACQUI TERME</v>
      </c>
      <c r="G277" t="str">
        <f>VLOOKUP($B277,'[1]DB PV ENI'!$A$4:$H$577,6,FALSE)</f>
        <v>VIA NIZZA 152</v>
      </c>
      <c r="H277">
        <v>15</v>
      </c>
      <c r="I277" s="1">
        <v>4</v>
      </c>
      <c r="J277" s="1">
        <v>11</v>
      </c>
      <c r="K277" s="1">
        <v>1</v>
      </c>
      <c r="L277" s="4">
        <v>9.0909090909090912E-2</v>
      </c>
    </row>
    <row r="278" spans="1:12" x14ac:dyDescent="0.15">
      <c r="A278" s="3" t="s">
        <v>12</v>
      </c>
      <c r="B278">
        <v>51294</v>
      </c>
      <c r="C278" t="str">
        <f>VLOOKUP($B278,'[1]DB PV ENI'!$A$4:$H$577,2,FALSE)</f>
        <v>NORD OVEST</v>
      </c>
      <c r="D278" t="str">
        <f>VLOOKUP($B278,'[1]DB PV ENI'!$A$4:$H$577,3,FALSE)</f>
        <v>PIEMONTE</v>
      </c>
      <c r="E278" t="str">
        <f>VLOOKUP($B278,'[1]DB PV ENI'!$A$4:$H$577,4,FALSE)</f>
        <v>TORINO</v>
      </c>
      <c r="F278" t="str">
        <f>VLOOKUP($B278,'[1]DB PV ENI'!$A$4:$H$577,5,FALSE)</f>
        <v>CARMAGNOLA</v>
      </c>
      <c r="G278" t="str">
        <f>VLOOKUP($B278,'[1]DB PV ENI'!$A$4:$H$577,6,FALSE)</f>
        <v>VIA S.FRANCESCO DI SALES NO 14</v>
      </c>
      <c r="H278">
        <v>4</v>
      </c>
      <c r="I278" s="1">
        <v>1</v>
      </c>
      <c r="J278" s="1">
        <v>3</v>
      </c>
      <c r="K278" s="1">
        <v>1</v>
      </c>
      <c r="L278" s="4">
        <v>0.33333333333333331</v>
      </c>
    </row>
    <row r="279" spans="1:12" x14ac:dyDescent="0.15">
      <c r="A279" s="3" t="s">
        <v>12</v>
      </c>
      <c r="B279">
        <v>52469</v>
      </c>
      <c r="C279" t="str">
        <f>VLOOKUP($B279,'[1]DB PV ENI'!$A$4:$H$577,2,FALSE)</f>
        <v>NORD OVEST</v>
      </c>
      <c r="D279" t="str">
        <f>VLOOKUP($B279,'[1]DB PV ENI'!$A$4:$H$577,3,FALSE)</f>
        <v>LOMBARDIA</v>
      </c>
      <c r="E279" t="str">
        <f>VLOOKUP($B279,'[1]DB PV ENI'!$A$4:$H$577,4,FALSE)</f>
        <v>MILANO</v>
      </c>
      <c r="F279" t="str">
        <f>VLOOKUP($B279,'[1]DB PV ENI'!$A$4:$H$577,5,FALSE)</f>
        <v>CORSICO</v>
      </c>
      <c r="G279" t="str">
        <f>VLOOKUP($B279,'[1]DB PV ENI'!$A$4:$H$577,6,FALSE)</f>
        <v>S.P 59 KM 6.500 VIGEVANESE</v>
      </c>
      <c r="H279">
        <v>10</v>
      </c>
      <c r="I279" s="1">
        <v>3</v>
      </c>
      <c r="J279" s="1">
        <v>7</v>
      </c>
      <c r="K279" s="1">
        <v>1</v>
      </c>
      <c r="L279" s="4">
        <v>0.14285714285714285</v>
      </c>
    </row>
    <row r="280" spans="1:12" x14ac:dyDescent="0.15">
      <c r="A280" s="3" t="s">
        <v>12</v>
      </c>
      <c r="B280">
        <v>54151</v>
      </c>
      <c r="C280" t="str">
        <f>VLOOKUP($B280,'[1]DB PV ENI'!$A$4:$H$577,2,FALSE)</f>
        <v>NORD OVEST</v>
      </c>
      <c r="D280" t="str">
        <f>VLOOKUP($B280,'[1]DB PV ENI'!$A$4:$H$577,3,FALSE)</f>
        <v>LIGURIA</v>
      </c>
      <c r="E280" t="str">
        <f>VLOOKUP($B280,'[1]DB PV ENI'!$A$4:$H$577,4,FALSE)</f>
        <v>IMPERIA</v>
      </c>
      <c r="F280" t="str">
        <f>VLOOKUP($B280,'[1]DB PV ENI'!$A$4:$H$577,5,FALSE)</f>
        <v>IMPERIA</v>
      </c>
      <c r="G280" t="str">
        <f>VLOOKUP($B280,'[1]DB PV ENI'!$A$4:$H$577,6,FALSE)</f>
        <v>SS 28 KM 136 + 600</v>
      </c>
      <c r="H280">
        <v>10</v>
      </c>
      <c r="I280" s="1">
        <v>3</v>
      </c>
      <c r="J280" s="1">
        <v>7</v>
      </c>
      <c r="K280" s="1">
        <v>1</v>
      </c>
      <c r="L280" s="4">
        <v>0.14285714285714285</v>
      </c>
    </row>
    <row r="281" spans="1:12" x14ac:dyDescent="0.15">
      <c r="A281" s="3" t="s">
        <v>12</v>
      </c>
      <c r="B281">
        <v>55313</v>
      </c>
      <c r="C281" t="str">
        <f>VLOOKUP($B281,'[1]DB PV ENI'!$A$4:$H$577,2,FALSE)</f>
        <v>NORD OVEST</v>
      </c>
      <c r="D281" t="str">
        <f>VLOOKUP($B281,'[1]DB PV ENI'!$A$4:$H$577,3,FALSE)</f>
        <v>LOMBARDIA</v>
      </c>
      <c r="E281" t="str">
        <f>VLOOKUP($B281,'[1]DB PV ENI'!$A$4:$H$577,4,FALSE)</f>
        <v>VARESE</v>
      </c>
      <c r="F281" t="str">
        <f>VLOOKUP($B281,'[1]DB PV ENI'!$A$4:$H$577,5,FALSE)</f>
        <v>ORIGGIO</v>
      </c>
      <c r="G281" t="str">
        <f>VLOOKUP($B281,'[1]DB PV ENI'!$A$4:$H$577,6,FALSE)</f>
        <v>SS 233 KM 20+110</v>
      </c>
      <c r="H281">
        <v>20</v>
      </c>
      <c r="I281" s="1">
        <v>7</v>
      </c>
      <c r="J281" s="1">
        <v>13</v>
      </c>
      <c r="K281" s="1">
        <v>1</v>
      </c>
      <c r="L281" s="4">
        <v>7.6923076923076927E-2</v>
      </c>
    </row>
    <row r="282" spans="1:12" x14ac:dyDescent="0.15">
      <c r="A282" s="3" t="s">
        <v>12</v>
      </c>
      <c r="B282">
        <v>55358</v>
      </c>
      <c r="C282" t="str">
        <f>VLOOKUP($B282,'[1]DB PV ENI'!$A$4:$H$577,2,FALSE)</f>
        <v>NORD OVEST</v>
      </c>
      <c r="D282" t="str">
        <f>VLOOKUP($B282,'[1]DB PV ENI'!$A$4:$H$577,3,FALSE)</f>
        <v>PIEMONTE</v>
      </c>
      <c r="E282" t="str">
        <f>VLOOKUP($B282,'[1]DB PV ENI'!$A$4:$H$577,4,FALSE)</f>
        <v>NOVARA</v>
      </c>
      <c r="F282" t="str">
        <f>VLOOKUP($B282,'[1]DB PV ENI'!$A$4:$H$577,5,FALSE)</f>
        <v>NOVARA</v>
      </c>
      <c r="G282" t="str">
        <f>VLOOKUP($B282,'[1]DB PV ENI'!$A$4:$H$577,6,FALSE)</f>
        <v>C.SO VERCELLI, 138</v>
      </c>
      <c r="H282">
        <v>3</v>
      </c>
      <c r="I282" s="1">
        <v>2</v>
      </c>
      <c r="J282" s="1">
        <v>1</v>
      </c>
      <c r="K282" s="1">
        <v>1</v>
      </c>
      <c r="L282" s="4">
        <v>1</v>
      </c>
    </row>
    <row r="283" spans="1:12" x14ac:dyDescent="0.15">
      <c r="A283" s="3" t="s">
        <v>12</v>
      </c>
      <c r="B283">
        <v>8413</v>
      </c>
      <c r="C283" t="str">
        <f>VLOOKUP($B283,'[1]DB PV ENI'!$A$4:$H$577,2,FALSE)</f>
        <v>SUD</v>
      </c>
      <c r="D283" t="str">
        <f>VLOOKUP($B283,'[1]DB PV ENI'!$A$4:$H$577,3,FALSE)</f>
        <v>CAMPANIA</v>
      </c>
      <c r="E283" t="str">
        <f>VLOOKUP($B283,'[1]DB PV ENI'!$A$4:$H$577,4,FALSE)</f>
        <v>CASERTA</v>
      </c>
      <c r="F283" t="str">
        <f>VLOOKUP($B283,'[1]DB PV ENI'!$A$4:$H$577,5,FALSE)</f>
        <v>CAPUA</v>
      </c>
      <c r="G283" t="str">
        <f>VLOOKUP($B283,'[1]DB PV ENI'!$A$4:$H$577,6,FALSE)</f>
        <v>VIA FUORI PORTA ROMA</v>
      </c>
      <c r="H283">
        <v>4</v>
      </c>
      <c r="I283" s="1">
        <v>2</v>
      </c>
      <c r="J283" s="1">
        <v>2</v>
      </c>
      <c r="K283" s="1">
        <v>1</v>
      </c>
      <c r="L283" s="4">
        <v>0.5</v>
      </c>
    </row>
    <row r="284" spans="1:12" x14ac:dyDescent="0.15">
      <c r="A284" s="3" t="s">
        <v>12</v>
      </c>
      <c r="B284">
        <v>8423</v>
      </c>
      <c r="C284" t="str">
        <f>VLOOKUP($B284,'[1]DB PV ENI'!$A$4:$H$577,2,FALSE)</f>
        <v>SUD</v>
      </c>
      <c r="D284" t="str">
        <f>VLOOKUP($B284,'[1]DB PV ENI'!$A$4:$H$577,3,FALSE)</f>
        <v>CAMPANIA</v>
      </c>
      <c r="E284" t="str">
        <f>VLOOKUP($B284,'[1]DB PV ENI'!$A$4:$H$577,4,FALSE)</f>
        <v>CASERTA</v>
      </c>
      <c r="F284" t="str">
        <f>VLOOKUP($B284,'[1]DB PV ENI'!$A$4:$H$577,5,FALSE)</f>
        <v>VAIRANO PATENORA</v>
      </c>
      <c r="G284" t="str">
        <f>VLOOKUP($B284,'[1]DB PV ENI'!$A$4:$H$577,6,FALSE)</f>
        <v>SS 6 KM 172+300</v>
      </c>
      <c r="H284">
        <v>12</v>
      </c>
      <c r="I284" s="1">
        <v>3</v>
      </c>
      <c r="J284" s="1">
        <v>9</v>
      </c>
      <c r="K284" s="1">
        <v>1</v>
      </c>
      <c r="L284" s="4">
        <v>0.1111111111111111</v>
      </c>
    </row>
    <row r="285" spans="1:12" x14ac:dyDescent="0.15">
      <c r="A285" s="3" t="s">
        <v>12</v>
      </c>
      <c r="B285">
        <v>8964</v>
      </c>
      <c r="C285" t="str">
        <f>VLOOKUP($B285,'[1]DB PV ENI'!$A$4:$H$577,2,FALSE)</f>
        <v>SUD</v>
      </c>
      <c r="D285" t="str">
        <f>VLOOKUP($B285,'[1]DB PV ENI'!$A$4:$H$577,3,FALSE)</f>
        <v>CAMPANIA</v>
      </c>
      <c r="E285" t="str">
        <f>VLOOKUP($B285,'[1]DB PV ENI'!$A$4:$H$577,4,FALSE)</f>
        <v>SALERNO</v>
      </c>
      <c r="F285" t="str">
        <f>VLOOKUP($B285,'[1]DB PV ENI'!$A$4:$H$577,5,FALSE)</f>
        <v>BATTIPAGLIA</v>
      </c>
      <c r="G285" t="str">
        <f>VLOOKUP($B285,'[1]DB PV ENI'!$A$4:$H$577,6,FALSE)</f>
        <v>SS 18 KM 72+800</v>
      </c>
      <c r="H285">
        <v>6</v>
      </c>
      <c r="I285" s="1">
        <v>3</v>
      </c>
      <c r="J285" s="1">
        <v>3</v>
      </c>
      <c r="K285" s="1">
        <v>1</v>
      </c>
      <c r="L285" s="4">
        <v>0.33333333333333331</v>
      </c>
    </row>
    <row r="286" spans="1:12" x14ac:dyDescent="0.15">
      <c r="A286" s="3" t="s">
        <v>12</v>
      </c>
      <c r="B286">
        <v>9092</v>
      </c>
      <c r="C286" t="str">
        <f>VLOOKUP($B286,'[1]DB PV ENI'!$A$4:$H$577,2,FALSE)</f>
        <v>SUD</v>
      </c>
      <c r="D286" t="str">
        <f>VLOOKUP($B286,'[1]DB PV ENI'!$A$4:$H$577,3,FALSE)</f>
        <v>PUGLIA</v>
      </c>
      <c r="E286" t="str">
        <f>VLOOKUP($B286,'[1]DB PV ENI'!$A$4:$H$577,4,FALSE)</f>
        <v>BARLETTA ANDRIA TRANI</v>
      </c>
      <c r="F286" t="str">
        <f>VLOOKUP($B286,'[1]DB PV ENI'!$A$4:$H$577,5,FALSE)</f>
        <v>ANDRIA</v>
      </c>
      <c r="G286" t="str">
        <f>VLOOKUP($B286,'[1]DB PV ENI'!$A$4:$H$577,6,FALSE)</f>
        <v>VIA PALMIRO TOGLIATTI 57/A</v>
      </c>
      <c r="H286">
        <v>4</v>
      </c>
      <c r="I286" s="1">
        <v>1</v>
      </c>
      <c r="J286" s="1">
        <v>3</v>
      </c>
      <c r="K286" s="1">
        <v>1</v>
      </c>
      <c r="L286" s="4">
        <v>0.33333333333333331</v>
      </c>
    </row>
    <row r="287" spans="1:12" x14ac:dyDescent="0.15">
      <c r="A287" s="3" t="s">
        <v>12</v>
      </c>
      <c r="B287">
        <v>9627</v>
      </c>
      <c r="C287" t="str">
        <f>VLOOKUP($B287,'[1]DB PV ENI'!$A$4:$H$577,2,FALSE)</f>
        <v>SUD</v>
      </c>
      <c r="D287" t="str">
        <f>VLOOKUP($B287,'[1]DB PV ENI'!$A$4:$H$577,3,FALSE)</f>
        <v>SICILIA</v>
      </c>
      <c r="E287" t="str">
        <f>VLOOKUP($B287,'[1]DB PV ENI'!$A$4:$H$577,4,FALSE)</f>
        <v>CATANIA</v>
      </c>
      <c r="F287" t="str">
        <f>VLOOKUP($B287,'[1]DB PV ENI'!$A$4:$H$577,5,FALSE)</f>
        <v>CATANIA</v>
      </c>
      <c r="G287" t="str">
        <f>VLOOKUP($B287,'[1]DB PV ENI'!$A$4:$H$577,6,FALSE)</f>
        <v>VIALE KENNEDY</v>
      </c>
      <c r="H287">
        <v>10</v>
      </c>
      <c r="I287" s="1">
        <v>3</v>
      </c>
      <c r="J287" s="1">
        <v>7</v>
      </c>
      <c r="K287" s="1">
        <v>1</v>
      </c>
      <c r="L287" s="4">
        <v>0.14285714285714285</v>
      </c>
    </row>
    <row r="288" spans="1:12" x14ac:dyDescent="0.15">
      <c r="A288" s="3" t="s">
        <v>12</v>
      </c>
      <c r="B288">
        <v>9673</v>
      </c>
      <c r="C288" t="str">
        <f>VLOOKUP($B288,'[1]DB PV ENI'!$A$4:$H$577,2,FALSE)</f>
        <v>SUD</v>
      </c>
      <c r="D288" t="str">
        <f>VLOOKUP($B288,'[1]DB PV ENI'!$A$4:$H$577,3,FALSE)</f>
        <v>SICILIA</v>
      </c>
      <c r="E288" t="str">
        <f>VLOOKUP($B288,'[1]DB PV ENI'!$A$4:$H$577,4,FALSE)</f>
        <v>MESSINA</v>
      </c>
      <c r="F288" t="str">
        <f>VLOOKUP($B288,'[1]DB PV ENI'!$A$4:$H$577,5,FALSE)</f>
        <v>SANT'AGATA DI MILITELLO</v>
      </c>
      <c r="G288" t="str">
        <f>VLOOKUP($B288,'[1]DB PV ENI'!$A$4:$H$577,6,FALSE)</f>
        <v>VIA MEDICI CONTRADA CANNAMELATA</v>
      </c>
      <c r="H288">
        <v>12</v>
      </c>
      <c r="I288" s="1">
        <v>1</v>
      </c>
      <c r="J288" s="1">
        <v>11</v>
      </c>
      <c r="K288" s="1">
        <v>1</v>
      </c>
      <c r="L288" s="4">
        <v>9.0909090909090912E-2</v>
      </c>
    </row>
    <row r="289" spans="1:12" x14ac:dyDescent="0.15">
      <c r="A289" s="3" t="s">
        <v>12</v>
      </c>
      <c r="B289">
        <v>19556</v>
      </c>
      <c r="C289" t="str">
        <f>VLOOKUP($B289,'[1]DB PV ENI'!$A$4:$H$577,2,FALSE)</f>
        <v>SUD</v>
      </c>
      <c r="D289" t="str">
        <f>VLOOKUP($B289,'[1]DB PV ENI'!$A$4:$H$577,3,FALSE)</f>
        <v>SICILIA</v>
      </c>
      <c r="E289" t="str">
        <f>VLOOKUP($B289,'[1]DB PV ENI'!$A$4:$H$577,4,FALSE)</f>
        <v>CATANIA</v>
      </c>
      <c r="F289" t="str">
        <f>VLOOKUP($B289,'[1]DB PV ENI'!$A$4:$H$577,5,FALSE)</f>
        <v>ACIREALE</v>
      </c>
      <c r="G289" t="str">
        <f>VLOOKUP($B289,'[1]DB PV ENI'!$A$4:$H$577,6,FALSE)</f>
        <v>S .S.114 KM. 79+727 - VIALE DELLO JONIO  21</v>
      </c>
      <c r="H289">
        <v>22</v>
      </c>
      <c r="I289" s="1">
        <v>7</v>
      </c>
      <c r="J289" s="1">
        <v>15</v>
      </c>
      <c r="K289" s="1">
        <v>1</v>
      </c>
      <c r="L289" s="4">
        <v>6.6666666666666666E-2</v>
      </c>
    </row>
    <row r="290" spans="1:12" x14ac:dyDescent="0.15">
      <c r="A290" s="3" t="s">
        <v>12</v>
      </c>
      <c r="B290">
        <v>19873</v>
      </c>
      <c r="C290" t="str">
        <f>VLOOKUP($B290,'[1]DB PV ENI'!$A$4:$H$577,2,FALSE)</f>
        <v>SUD</v>
      </c>
      <c r="D290" t="str">
        <f>VLOOKUP($B290,'[1]DB PV ENI'!$A$4:$H$577,3,FALSE)</f>
        <v>SICILIA</v>
      </c>
      <c r="E290" t="str">
        <f>VLOOKUP($B290,'[1]DB PV ENI'!$A$4:$H$577,4,FALSE)</f>
        <v>SIRACUSA</v>
      </c>
      <c r="F290" t="str">
        <f>VLOOKUP($B290,'[1]DB PV ENI'!$A$4:$H$577,5,FALSE)</f>
        <v>SIRACUSA</v>
      </c>
      <c r="G290" t="str">
        <f>VLOOKUP($B290,'[1]DB PV ENI'!$A$4:$H$577,6,FALSE)</f>
        <v>S.S. 115 KM. 407+254 C/DA PANTANELLI S.N.</v>
      </c>
      <c r="H290">
        <v>10</v>
      </c>
      <c r="I290" s="1">
        <v>2</v>
      </c>
      <c r="J290" s="1">
        <v>8</v>
      </c>
      <c r="K290" s="1">
        <v>1</v>
      </c>
      <c r="L290" s="4">
        <v>0.125</v>
      </c>
    </row>
    <row r="291" spans="1:12" x14ac:dyDescent="0.15">
      <c r="A291" s="3" t="s">
        <v>12</v>
      </c>
      <c r="B291">
        <v>38018</v>
      </c>
      <c r="C291" t="str">
        <f>VLOOKUP($B291,'[1]DB PV ENI'!$A$4:$H$577,2,FALSE)</f>
        <v>SUD</v>
      </c>
      <c r="D291" t="str">
        <f>VLOOKUP($B291,'[1]DB PV ENI'!$A$4:$H$577,3,FALSE)</f>
        <v>BASILICATA</v>
      </c>
      <c r="E291" t="str">
        <f>VLOOKUP($B291,'[1]DB PV ENI'!$A$4:$H$577,4,FALSE)</f>
        <v>POTENZA</v>
      </c>
      <c r="F291" t="str">
        <f>VLOOKUP($B291,'[1]DB PV ENI'!$A$4:$H$577,5,FALSE)</f>
        <v>POTENZA</v>
      </c>
      <c r="G291" t="str">
        <f>VLOOKUP($B291,'[1]DB PV ENI'!$A$4:$H$577,6,FALSE)</f>
        <v>VIA APPIA 187</v>
      </c>
      <c r="H291">
        <v>14</v>
      </c>
      <c r="I291" s="1">
        <v>2</v>
      </c>
      <c r="J291" s="1">
        <v>12</v>
      </c>
      <c r="K291" s="1">
        <v>1</v>
      </c>
      <c r="L291" s="4">
        <v>8.3333333333333329E-2</v>
      </c>
    </row>
    <row r="292" spans="1:12" x14ac:dyDescent="0.15">
      <c r="A292" s="3" t="s">
        <v>12</v>
      </c>
      <c r="B292">
        <v>38047</v>
      </c>
      <c r="C292" t="str">
        <f>VLOOKUP($B292,'[1]DB PV ENI'!$A$4:$H$577,2,FALSE)</f>
        <v>SUD</v>
      </c>
      <c r="D292" t="str">
        <f>VLOOKUP($B292,'[1]DB PV ENI'!$A$4:$H$577,3,FALSE)</f>
        <v>PUGLIA</v>
      </c>
      <c r="E292" t="str">
        <f>VLOOKUP($B292,'[1]DB PV ENI'!$A$4:$H$577,4,FALSE)</f>
        <v>BARI</v>
      </c>
      <c r="F292" t="str">
        <f>VLOOKUP($B292,'[1]DB PV ENI'!$A$4:$H$577,5,FALSE)</f>
        <v>BARI</v>
      </c>
      <c r="G292" t="str">
        <f>VLOOKUP($B292,'[1]DB PV ENI'!$A$4:$H$577,6,FALSE)</f>
        <v>SOTTOVIA DUCA DEGLI ABRUZZI</v>
      </c>
      <c r="H292">
        <v>3</v>
      </c>
      <c r="I292" s="1">
        <v>1</v>
      </c>
      <c r="J292" s="1">
        <v>2</v>
      </c>
      <c r="K292" s="1">
        <v>1</v>
      </c>
      <c r="L292" s="4">
        <v>0.5</v>
      </c>
    </row>
    <row r="293" spans="1:12" x14ac:dyDescent="0.15">
      <c r="A293" s="3" t="s">
        <v>12</v>
      </c>
      <c r="B293">
        <v>39211</v>
      </c>
      <c r="C293" t="str">
        <f>VLOOKUP($B293,'[1]DB PV ENI'!$A$4:$H$577,2,FALSE)</f>
        <v>SUD</v>
      </c>
      <c r="D293" t="str">
        <f>VLOOKUP($B293,'[1]DB PV ENI'!$A$4:$H$577,3,FALSE)</f>
        <v>SICILIA</v>
      </c>
      <c r="E293" t="str">
        <f>VLOOKUP($B293,'[1]DB PV ENI'!$A$4:$H$577,4,FALSE)</f>
        <v>CATANIA</v>
      </c>
      <c r="F293" t="str">
        <f>VLOOKUP($B293,'[1]DB PV ENI'!$A$4:$H$577,5,FALSE)</f>
        <v>SAN GIOVANNI LA PUNTA</v>
      </c>
      <c r="G293" t="str">
        <f>VLOOKUP($B293,'[1]DB PV ENI'!$A$4:$H$577,6,FALSE)</f>
        <v>VIA CRISTOFORO COLOMBO, 4</v>
      </c>
      <c r="H293">
        <v>17</v>
      </c>
      <c r="I293" s="1">
        <v>8</v>
      </c>
      <c r="J293" s="1">
        <v>9</v>
      </c>
      <c r="K293" s="1">
        <v>1</v>
      </c>
      <c r="L293" s="4">
        <v>0.1111111111111111</v>
      </c>
    </row>
    <row r="294" spans="1:12" x14ac:dyDescent="0.15">
      <c r="A294" s="3" t="s">
        <v>12</v>
      </c>
      <c r="B294">
        <v>54798</v>
      </c>
      <c r="C294" t="str">
        <f>VLOOKUP($B294,'[1]DB PV ENI'!$A$4:$H$577,2,FALSE)</f>
        <v>SUD</v>
      </c>
      <c r="D294" t="str">
        <f>VLOOKUP($B294,'[1]DB PV ENI'!$A$4:$H$577,3,FALSE)</f>
        <v>PUGLIA</v>
      </c>
      <c r="E294" t="str">
        <f>VLOOKUP($B294,'[1]DB PV ENI'!$A$4:$H$577,4,FALSE)</f>
        <v>BARI</v>
      </c>
      <c r="F294" t="str">
        <f>VLOOKUP($B294,'[1]DB PV ENI'!$A$4:$H$577,5,FALSE)</f>
        <v>BARI</v>
      </c>
      <c r="G294" t="str">
        <f>VLOOKUP($B294,'[1]DB PV ENI'!$A$4:$H$577,6,FALSE)</f>
        <v>BRUNO BUOZZI N</v>
      </c>
      <c r="H294">
        <v>4</v>
      </c>
      <c r="I294" s="1">
        <v>2</v>
      </c>
      <c r="J294" s="1">
        <v>2</v>
      </c>
      <c r="K294" s="1">
        <v>1</v>
      </c>
      <c r="L294" s="4">
        <v>0.5</v>
      </c>
    </row>
    <row r="295" spans="1:12" x14ac:dyDescent="0.15">
      <c r="A295" s="3" t="s">
        <v>12</v>
      </c>
      <c r="B295">
        <v>55106</v>
      </c>
      <c r="C295" t="str">
        <f>VLOOKUP($B295,'[1]DB PV ENI'!$A$4:$H$577,2,FALSE)</f>
        <v>SUD</v>
      </c>
      <c r="D295" t="str">
        <f>VLOOKUP($B295,'[1]DB PV ENI'!$A$4:$H$577,3,FALSE)</f>
        <v>SICILIA</v>
      </c>
      <c r="E295" t="str">
        <f>VLOOKUP($B295,'[1]DB PV ENI'!$A$4:$H$577,4,FALSE)</f>
        <v>CATANIA</v>
      </c>
      <c r="F295" t="str">
        <f>VLOOKUP($B295,'[1]DB PV ENI'!$A$4:$H$577,5,FALSE)</f>
        <v>CATANIA</v>
      </c>
      <c r="G295" t="str">
        <f>VLOOKUP($B295,'[1]DB PV ENI'!$A$4:$H$577,6,FALSE)</f>
        <v>VIA A. DORIA</v>
      </c>
      <c r="H295">
        <v>4</v>
      </c>
      <c r="I295" s="1">
        <v>1</v>
      </c>
      <c r="J295" s="1">
        <v>3</v>
      </c>
      <c r="K295" s="1">
        <v>1</v>
      </c>
      <c r="L295" s="4">
        <v>0.33333333333333331</v>
      </c>
    </row>
    <row r="296" spans="1:12" x14ac:dyDescent="0.15">
      <c r="A296" s="3" t="s">
        <v>12</v>
      </c>
      <c r="B296">
        <v>54315</v>
      </c>
      <c r="C296" t="e">
        <f>VLOOKUP($B296,'[1]DB PV ENI'!$A$4:$H$577,2,FALSE)</f>
        <v>#N/A</v>
      </c>
      <c r="D296" t="e">
        <f>VLOOKUP($B296,'[1]DB PV ENI'!$A$4:$H$577,3,FALSE)</f>
        <v>#N/A</v>
      </c>
      <c r="E296" t="e">
        <f>VLOOKUP($B296,'[1]DB PV ENI'!$A$4:$H$577,4,FALSE)</f>
        <v>#N/A</v>
      </c>
      <c r="F296" t="e">
        <f>VLOOKUP($B296,'[1]DB PV ENI'!$A$4:$H$577,5,FALSE)</f>
        <v>#N/A</v>
      </c>
      <c r="G296" t="e">
        <f>VLOOKUP($B296,'[1]DB PV ENI'!$A$4:$H$577,6,FALSE)</f>
        <v>#N/A</v>
      </c>
      <c r="H296">
        <v>2</v>
      </c>
      <c r="I296" s="1">
        <v>1</v>
      </c>
      <c r="J296" s="1">
        <v>1</v>
      </c>
      <c r="K296" s="1">
        <v>1</v>
      </c>
      <c r="L296" s="4">
        <v>1</v>
      </c>
    </row>
    <row r="297" spans="1:12" x14ac:dyDescent="0.15">
      <c r="A297" s="3" t="s">
        <v>12</v>
      </c>
      <c r="B297">
        <v>4516</v>
      </c>
      <c r="C297" t="str">
        <f>VLOOKUP($B297,'[1]DB PV ENI'!$A$4:$H$577,2,FALSE)</f>
        <v>CENTRO</v>
      </c>
      <c r="D297" t="str">
        <f>VLOOKUP($B297,'[1]DB PV ENI'!$A$4:$H$577,3,FALSE)</f>
        <v>TOSCANA</v>
      </c>
      <c r="E297" t="str">
        <f>VLOOKUP($B297,'[1]DB PV ENI'!$A$4:$H$577,4,FALSE)</f>
        <v>MASSA CARRARA</v>
      </c>
      <c r="F297" t="str">
        <f>VLOOKUP($B297,'[1]DB PV ENI'!$A$4:$H$577,5,FALSE)</f>
        <v>CARRARA</v>
      </c>
      <c r="G297" t="str">
        <f>VLOOKUP($B297,'[1]DB PV ENI'!$A$4:$H$577,6,FALSE)</f>
        <v>VIA GALILEO GALILEI</v>
      </c>
      <c r="H297">
        <v>5</v>
      </c>
      <c r="I297" s="1">
        <v>1</v>
      </c>
      <c r="J297" s="1">
        <v>4</v>
      </c>
      <c r="K297" s="1">
        <v>0</v>
      </c>
      <c r="L297" s="4">
        <v>0</v>
      </c>
    </row>
    <row r="298" spans="1:12" x14ac:dyDescent="0.15">
      <c r="A298" s="3" t="s">
        <v>12</v>
      </c>
      <c r="B298">
        <v>4677</v>
      </c>
      <c r="C298" t="str">
        <f>VLOOKUP($B298,'[1]DB PV ENI'!$A$4:$H$577,2,FALSE)</f>
        <v>CENTRO</v>
      </c>
      <c r="D298" t="str">
        <f>VLOOKUP($B298,'[1]DB PV ENI'!$A$4:$H$577,3,FALSE)</f>
        <v>TOSCANA</v>
      </c>
      <c r="E298" t="str">
        <f>VLOOKUP($B298,'[1]DB PV ENI'!$A$4:$H$577,4,FALSE)</f>
        <v>AREZZO</v>
      </c>
      <c r="F298" t="str">
        <f>VLOOKUP($B298,'[1]DB PV ENI'!$A$4:$H$577,5,FALSE)</f>
        <v>AREZZO</v>
      </c>
      <c r="G298" t="str">
        <f>VLOOKUP($B298,'[1]DB PV ENI'!$A$4:$H$577,6,FALSE)</f>
        <v>S.S. 71, KM. 151 LOC.CECILIANO</v>
      </c>
      <c r="H298">
        <v>8</v>
      </c>
      <c r="I298" s="1">
        <v>1</v>
      </c>
      <c r="J298" s="1">
        <v>7</v>
      </c>
      <c r="K298" s="1">
        <v>0</v>
      </c>
      <c r="L298" s="4">
        <v>0</v>
      </c>
    </row>
    <row r="299" spans="1:12" x14ac:dyDescent="0.15">
      <c r="A299" s="3" t="s">
        <v>12</v>
      </c>
      <c r="B299">
        <v>4812</v>
      </c>
      <c r="C299" t="str">
        <f>VLOOKUP($B299,'[1]DB PV ENI'!$A$4:$H$577,2,FALSE)</f>
        <v>CENTRO</v>
      </c>
      <c r="D299" t="str">
        <f>VLOOKUP($B299,'[1]DB PV ENI'!$A$4:$H$577,3,FALSE)</f>
        <v>TOSCANA</v>
      </c>
      <c r="E299" t="str">
        <f>VLOOKUP($B299,'[1]DB PV ENI'!$A$4:$H$577,4,FALSE)</f>
        <v>FIRENZE</v>
      </c>
      <c r="F299" t="str">
        <f>VLOOKUP($B299,'[1]DB PV ENI'!$A$4:$H$577,5,FALSE)</f>
        <v>FIRENZE</v>
      </c>
      <c r="G299" t="str">
        <f>VLOOKUP($B299,'[1]DB PV ENI'!$A$4:$H$577,6,FALSE)</f>
        <v>VIA DEL ROMITO</v>
      </c>
      <c r="H299">
        <v>5</v>
      </c>
      <c r="I299" s="1">
        <v>4</v>
      </c>
      <c r="J299" s="1">
        <v>1</v>
      </c>
      <c r="K299" s="1">
        <v>0</v>
      </c>
      <c r="L299" s="4">
        <v>0</v>
      </c>
    </row>
    <row r="300" spans="1:12" x14ac:dyDescent="0.15">
      <c r="A300" s="3" t="s">
        <v>12</v>
      </c>
      <c r="B300">
        <v>4951</v>
      </c>
      <c r="C300" t="str">
        <f>VLOOKUP($B300,'[1]DB PV ENI'!$A$4:$H$577,2,FALSE)</f>
        <v>CENTRO</v>
      </c>
      <c r="D300" t="str">
        <f>VLOOKUP($B300,'[1]DB PV ENI'!$A$4:$H$577,3,FALSE)</f>
        <v>TOSCANA</v>
      </c>
      <c r="E300" t="str">
        <f>VLOOKUP($B300,'[1]DB PV ENI'!$A$4:$H$577,4,FALSE)</f>
        <v>GROSSETO</v>
      </c>
      <c r="F300" t="str">
        <f>VLOOKUP($B300,'[1]DB PV ENI'!$A$4:$H$577,5,FALSE)</f>
        <v>GROSSETO</v>
      </c>
      <c r="G300" t="str">
        <f>VLOOKUP($B300,'[1]DB PV ENI'!$A$4:$H$577,6,FALSE)</f>
        <v>VIA AURELIA NORD 162</v>
      </c>
      <c r="H300">
        <v>10</v>
      </c>
      <c r="I300" s="1">
        <v>0</v>
      </c>
      <c r="J300" s="1">
        <v>10</v>
      </c>
      <c r="K300" s="1">
        <v>0</v>
      </c>
      <c r="L300" s="4">
        <v>0</v>
      </c>
    </row>
    <row r="301" spans="1:12" x14ac:dyDescent="0.15">
      <c r="A301" s="3" t="s">
        <v>12</v>
      </c>
      <c r="B301">
        <v>6560</v>
      </c>
      <c r="C301" t="str">
        <f>VLOOKUP($B301,'[1]DB PV ENI'!$A$4:$H$577,2,FALSE)</f>
        <v>CENTRO</v>
      </c>
      <c r="D301" t="str">
        <f>VLOOKUP($B301,'[1]DB PV ENI'!$A$4:$H$577,3,FALSE)</f>
        <v>ABRUZZO</v>
      </c>
      <c r="E301" t="str">
        <f>VLOOKUP($B301,'[1]DB PV ENI'!$A$4:$H$577,4,FALSE)</f>
        <v>L'AQUILA</v>
      </c>
      <c r="F301" t="str">
        <f>VLOOKUP($B301,'[1]DB PV ENI'!$A$4:$H$577,5,FALSE)</f>
        <v>AVEZZANO</v>
      </c>
      <c r="G301" t="str">
        <f>VLOOKUP($B301,'[1]DB PV ENI'!$A$4:$H$577,6,FALSE)</f>
        <v>SS 5 KM.113+309 (VIA ROMA 212-TIBURTINA VALERIA)</v>
      </c>
      <c r="H301">
        <v>2</v>
      </c>
      <c r="I301" s="1">
        <v>2</v>
      </c>
      <c r="J301" s="1">
        <v>0</v>
      </c>
      <c r="K301" s="1">
        <v>0</v>
      </c>
      <c r="L301" s="4" t="e">
        <v>#DIV/0!</v>
      </c>
    </row>
    <row r="302" spans="1:12" x14ac:dyDescent="0.15">
      <c r="A302" s="3" t="s">
        <v>12</v>
      </c>
      <c r="B302">
        <v>6659</v>
      </c>
      <c r="C302" t="str">
        <f>VLOOKUP($B302,'[1]DB PV ENI'!$A$4:$H$577,2,FALSE)</f>
        <v>CENTRO</v>
      </c>
      <c r="D302" t="str">
        <f>VLOOKUP($B302,'[1]DB PV ENI'!$A$4:$H$577,3,FALSE)</f>
        <v>LAZIO</v>
      </c>
      <c r="E302" t="str">
        <f>VLOOKUP($B302,'[1]DB PV ENI'!$A$4:$H$577,4,FALSE)</f>
        <v>FROSINONE</v>
      </c>
      <c r="F302" t="str">
        <f>VLOOKUP($B302,'[1]DB PV ENI'!$A$4:$H$577,5,FALSE)</f>
        <v>SAN VITTORE DEL LAZIO</v>
      </c>
      <c r="G302" t="str">
        <f>VLOOKUP($B302,'[1]DB PV ENI'!$A$4:$H$577,6,FALSE)</f>
        <v>SS 430 KM 0.525</v>
      </c>
      <c r="H302">
        <v>4</v>
      </c>
      <c r="I302" s="1">
        <v>0</v>
      </c>
      <c r="J302" s="1">
        <v>4</v>
      </c>
      <c r="K302" s="1">
        <v>0</v>
      </c>
      <c r="L302" s="4">
        <v>0</v>
      </c>
    </row>
    <row r="303" spans="1:12" x14ac:dyDescent="0.15">
      <c r="A303" s="3" t="s">
        <v>12</v>
      </c>
      <c r="B303">
        <v>6711</v>
      </c>
      <c r="C303" t="str">
        <f>VLOOKUP($B303,'[1]DB PV ENI'!$A$4:$H$577,2,FALSE)</f>
        <v>CENTRO</v>
      </c>
      <c r="D303" t="str">
        <f>VLOOKUP($B303,'[1]DB PV ENI'!$A$4:$H$577,3,FALSE)</f>
        <v>LAZIO</v>
      </c>
      <c r="E303" t="str">
        <f>VLOOKUP($B303,'[1]DB PV ENI'!$A$4:$H$577,4,FALSE)</f>
        <v>LATINA</v>
      </c>
      <c r="F303" t="str">
        <f>VLOOKUP($B303,'[1]DB PV ENI'!$A$4:$H$577,5,FALSE)</f>
        <v>TERRACINA</v>
      </c>
      <c r="G303" t="str">
        <f>VLOOKUP($B303,'[1]DB PV ENI'!$A$4:$H$577,6,FALSE)</f>
        <v>VIA ROMA SNC</v>
      </c>
      <c r="H303">
        <v>3</v>
      </c>
      <c r="I303" s="1">
        <v>0</v>
      </c>
      <c r="J303" s="1">
        <v>3</v>
      </c>
      <c r="K303" s="1">
        <v>0</v>
      </c>
      <c r="L303" s="4">
        <v>0</v>
      </c>
    </row>
    <row r="304" spans="1:12" x14ac:dyDescent="0.15">
      <c r="A304" s="3" t="s">
        <v>12</v>
      </c>
      <c r="B304">
        <v>7084</v>
      </c>
      <c r="C304" t="str">
        <f>VLOOKUP($B304,'[1]DB PV ENI'!$A$4:$H$577,2,FALSE)</f>
        <v>CENTRO</v>
      </c>
      <c r="D304" t="str">
        <f>VLOOKUP($B304,'[1]DB PV ENI'!$A$4:$H$577,3,FALSE)</f>
        <v>LAZIO</v>
      </c>
      <c r="E304" t="str">
        <f>VLOOKUP($B304,'[1]DB PV ENI'!$A$4:$H$577,4,FALSE)</f>
        <v>ROMA</v>
      </c>
      <c r="F304" t="str">
        <f>VLOOKUP($B304,'[1]DB PV ENI'!$A$4:$H$577,5,FALSE)</f>
        <v>ROMA</v>
      </c>
      <c r="G304" t="str">
        <f>VLOOKUP($B304,'[1]DB PV ENI'!$A$4:$H$577,6,FALSE)</f>
        <v>VIA TUSCOLANA ANG CAVE, 0432</v>
      </c>
      <c r="H304">
        <v>6</v>
      </c>
      <c r="I304" s="1">
        <v>2</v>
      </c>
      <c r="J304" s="1">
        <v>4</v>
      </c>
      <c r="K304" s="1">
        <v>0</v>
      </c>
      <c r="L304" s="4">
        <v>0</v>
      </c>
    </row>
    <row r="305" spans="1:12" x14ac:dyDescent="0.15">
      <c r="A305" s="3" t="s">
        <v>12</v>
      </c>
      <c r="B305">
        <v>7181</v>
      </c>
      <c r="C305" t="str">
        <f>VLOOKUP($B305,'[1]DB PV ENI'!$A$4:$H$577,2,FALSE)</f>
        <v>CENTRO</v>
      </c>
      <c r="D305" t="str">
        <f>VLOOKUP($B305,'[1]DB PV ENI'!$A$4:$H$577,3,FALSE)</f>
        <v>LAZIO</v>
      </c>
      <c r="E305" t="str">
        <f>VLOOKUP($B305,'[1]DB PV ENI'!$A$4:$H$577,4,FALSE)</f>
        <v>ROMA</v>
      </c>
      <c r="F305" t="str">
        <f>VLOOKUP($B305,'[1]DB PV ENI'!$A$4:$H$577,5,FALSE)</f>
        <v>SUBIACO</v>
      </c>
      <c r="G305" t="str">
        <f>VLOOKUP($B305,'[1]DB PV ENI'!$A$4:$H$577,6,FALSE)</f>
        <v>SUBLACENSE KM 72*883</v>
      </c>
      <c r="H305">
        <v>7</v>
      </c>
      <c r="I305" s="1">
        <v>2</v>
      </c>
      <c r="J305" s="1">
        <v>5</v>
      </c>
      <c r="K305" s="1">
        <v>0</v>
      </c>
      <c r="L305" s="4">
        <v>0</v>
      </c>
    </row>
    <row r="306" spans="1:12" x14ac:dyDescent="0.15">
      <c r="A306" s="3" t="s">
        <v>12</v>
      </c>
      <c r="B306">
        <v>7221</v>
      </c>
      <c r="C306" t="str">
        <f>VLOOKUP($B306,'[1]DB PV ENI'!$A$4:$H$577,2,FALSE)</f>
        <v>CENTRO</v>
      </c>
      <c r="D306" t="str">
        <f>VLOOKUP($B306,'[1]DB PV ENI'!$A$4:$H$577,3,FALSE)</f>
        <v>LAZIO</v>
      </c>
      <c r="E306" t="str">
        <f>VLOOKUP($B306,'[1]DB PV ENI'!$A$4:$H$577,4,FALSE)</f>
        <v>ROMA</v>
      </c>
      <c r="F306" t="str">
        <f>VLOOKUP($B306,'[1]DB PV ENI'!$A$4:$H$577,5,FALSE)</f>
        <v>ROMA</v>
      </c>
      <c r="G306" t="str">
        <f>VLOOKUP($B306,'[1]DB PV ENI'!$A$4:$H$577,6,FALSE)</f>
        <v>VIA TAGLIAMENTO 0049</v>
      </c>
      <c r="H306">
        <v>13</v>
      </c>
      <c r="I306" s="1">
        <v>6</v>
      </c>
      <c r="J306" s="1">
        <v>7</v>
      </c>
      <c r="K306" s="1">
        <v>0</v>
      </c>
      <c r="L306" s="4">
        <v>0</v>
      </c>
    </row>
    <row r="307" spans="1:12" x14ac:dyDescent="0.15">
      <c r="A307" s="3" t="s">
        <v>12</v>
      </c>
      <c r="B307">
        <v>7270</v>
      </c>
      <c r="C307" t="str">
        <f>VLOOKUP($B307,'[1]DB PV ENI'!$A$4:$H$577,2,FALSE)</f>
        <v>CENTRO</v>
      </c>
      <c r="D307" t="str">
        <f>VLOOKUP($B307,'[1]DB PV ENI'!$A$4:$H$577,3,FALSE)</f>
        <v>MOLISE</v>
      </c>
      <c r="E307" t="str">
        <f>VLOOKUP($B307,'[1]DB PV ENI'!$A$4:$H$577,4,FALSE)</f>
        <v>CAMPOBASSO</v>
      </c>
      <c r="F307" t="str">
        <f>VLOOKUP($B307,'[1]DB PV ENI'!$A$4:$H$577,5,FALSE)</f>
        <v>CAMPOBASSO</v>
      </c>
      <c r="G307" t="str">
        <f>VLOOKUP($B307,'[1]DB PV ENI'!$A$4:$H$577,6,FALSE)</f>
        <v>IV NOVEMBRE</v>
      </c>
      <c r="H307">
        <v>14</v>
      </c>
      <c r="I307" s="1">
        <v>7</v>
      </c>
      <c r="J307" s="1">
        <v>7</v>
      </c>
      <c r="K307" s="1">
        <v>0</v>
      </c>
      <c r="L307" s="4">
        <v>0</v>
      </c>
    </row>
    <row r="308" spans="1:12" x14ac:dyDescent="0.15">
      <c r="A308" s="3" t="s">
        <v>12</v>
      </c>
      <c r="B308">
        <v>7364</v>
      </c>
      <c r="C308" t="str">
        <f>VLOOKUP($B308,'[1]DB PV ENI'!$A$4:$H$577,2,FALSE)</f>
        <v>CENTRO</v>
      </c>
      <c r="D308" t="str">
        <f>VLOOKUP($B308,'[1]DB PV ENI'!$A$4:$H$577,3,FALSE)</f>
        <v>ABRUZZO</v>
      </c>
      <c r="E308" t="str">
        <f>VLOOKUP($B308,'[1]DB PV ENI'!$A$4:$H$577,4,FALSE)</f>
        <v>TERAMO</v>
      </c>
      <c r="F308" t="str">
        <f>VLOOKUP($B308,'[1]DB PV ENI'!$A$4:$H$577,5,FALSE)</f>
        <v>ROSETO DEGLI ABRUZZI</v>
      </c>
      <c r="G308" t="str">
        <f>VLOOKUP($B308,'[1]DB PV ENI'!$A$4:$H$577,6,FALSE)</f>
        <v>VIA NAZIONALE SUD 617</v>
      </c>
      <c r="H308">
        <v>2</v>
      </c>
      <c r="I308" s="1">
        <v>1</v>
      </c>
      <c r="J308" s="1">
        <v>1</v>
      </c>
      <c r="K308" s="1">
        <v>0</v>
      </c>
      <c r="L308" s="4">
        <v>0</v>
      </c>
    </row>
    <row r="309" spans="1:12" x14ac:dyDescent="0.15">
      <c r="A309" s="3" t="s">
        <v>12</v>
      </c>
      <c r="B309">
        <v>7429</v>
      </c>
      <c r="C309" t="str">
        <f>VLOOKUP($B309,'[1]DB PV ENI'!$A$4:$H$577,2,FALSE)</f>
        <v>CENTRO</v>
      </c>
      <c r="D309" t="str">
        <f>VLOOKUP($B309,'[1]DB PV ENI'!$A$4:$H$577,3,FALSE)</f>
        <v>UMBRIA</v>
      </c>
      <c r="E309" t="str">
        <f>VLOOKUP($B309,'[1]DB PV ENI'!$A$4:$H$577,4,FALSE)</f>
        <v>TERNI</v>
      </c>
      <c r="F309" t="str">
        <f>VLOOKUP($B309,'[1]DB PV ENI'!$A$4:$H$577,5,FALSE)</f>
        <v>FABRO</v>
      </c>
      <c r="G309" t="str">
        <f>VLOOKUP($B309,'[1]DB PV ENI'!$A$4:$H$577,6,FALSE)</f>
        <v>AUT. A1 DIR.MILANO/ROMA KM 428</v>
      </c>
      <c r="H309">
        <v>1</v>
      </c>
      <c r="I309" s="1">
        <v>0</v>
      </c>
      <c r="J309" s="1">
        <v>1</v>
      </c>
      <c r="K309" s="1">
        <v>0</v>
      </c>
      <c r="L309" s="4">
        <v>0</v>
      </c>
    </row>
    <row r="310" spans="1:12" x14ac:dyDescent="0.15">
      <c r="A310" s="3" t="s">
        <v>12</v>
      </c>
      <c r="B310">
        <v>7431</v>
      </c>
      <c r="C310" t="str">
        <f>VLOOKUP($B310,'[1]DB PV ENI'!$A$4:$H$577,2,FALSE)</f>
        <v>CENTRO</v>
      </c>
      <c r="D310" t="str">
        <f>VLOOKUP($B310,'[1]DB PV ENI'!$A$4:$H$577,3,FALSE)</f>
        <v>UMBRIA</v>
      </c>
      <c r="E310" t="str">
        <f>VLOOKUP($B310,'[1]DB PV ENI'!$A$4:$H$577,4,FALSE)</f>
        <v>TERNI</v>
      </c>
      <c r="F310" t="str">
        <f>VLOOKUP($B310,'[1]DB PV ENI'!$A$4:$H$577,5,FALSE)</f>
        <v>ORVIETO</v>
      </c>
      <c r="G310" t="str">
        <f>VLOOKUP($B310,'[1]DB PV ENI'!$A$4:$H$577,6,FALSE)</f>
        <v>S.S.205 KM.52+330</v>
      </c>
      <c r="H310">
        <v>1</v>
      </c>
      <c r="I310" s="1">
        <v>0</v>
      </c>
      <c r="J310" s="1">
        <v>1</v>
      </c>
      <c r="K310" s="1">
        <v>0</v>
      </c>
      <c r="L310" s="4">
        <v>0</v>
      </c>
    </row>
    <row r="311" spans="1:12" x14ac:dyDescent="0.15">
      <c r="A311" s="3" t="s">
        <v>12</v>
      </c>
      <c r="B311">
        <v>11295</v>
      </c>
      <c r="C311" t="str">
        <f>VLOOKUP($B311,'[1]DB PV ENI'!$A$4:$H$577,2,FALSE)</f>
        <v>CENTRO</v>
      </c>
      <c r="D311" t="str">
        <f>VLOOKUP($B311,'[1]DB PV ENI'!$A$4:$H$577,3,FALSE)</f>
        <v>TOSCANA</v>
      </c>
      <c r="E311" t="str">
        <f>VLOOKUP($B311,'[1]DB PV ENI'!$A$4:$H$577,4,FALSE)</f>
        <v>MASSA CARRARA</v>
      </c>
      <c r="F311" t="str">
        <f>VLOOKUP($B311,'[1]DB PV ENI'!$A$4:$H$577,5,FALSE)</f>
        <v>MONTIGNOSO</v>
      </c>
      <c r="G311" t="str">
        <f>VLOOKUP($B311,'[1]DB PV ENI'!$A$4:$H$577,6,FALSE)</f>
        <v>VIA AURELIA KM 376 LOC. DEBBIA</v>
      </c>
      <c r="H311">
        <v>2</v>
      </c>
      <c r="I311" s="1">
        <v>0</v>
      </c>
      <c r="J311" s="1">
        <v>2</v>
      </c>
      <c r="K311" s="1">
        <v>0</v>
      </c>
      <c r="L311" s="4">
        <v>0</v>
      </c>
    </row>
    <row r="312" spans="1:12" x14ac:dyDescent="0.15">
      <c r="A312" s="3" t="s">
        <v>12</v>
      </c>
      <c r="B312">
        <v>16572</v>
      </c>
      <c r="C312" t="str">
        <f>VLOOKUP($B312,'[1]DB PV ENI'!$A$4:$H$577,2,FALSE)</f>
        <v>CENTRO</v>
      </c>
      <c r="D312" t="str">
        <f>VLOOKUP($B312,'[1]DB PV ENI'!$A$4:$H$577,3,FALSE)</f>
        <v>ABRUZZO</v>
      </c>
      <c r="E312" t="str">
        <f>VLOOKUP($B312,'[1]DB PV ENI'!$A$4:$H$577,4,FALSE)</f>
        <v>L'AQUILA</v>
      </c>
      <c r="F312" t="str">
        <f>VLOOKUP($B312,'[1]DB PV ENI'!$A$4:$H$577,5,FALSE)</f>
        <v>ORICOLA</v>
      </c>
      <c r="G312" t="str">
        <f>VLOOKUP($B312,'[1]DB PV ENI'!$A$4:$H$577,6,FALSE)</f>
        <v>S.S.TIBURTINA VALERIA KM. 68+300</v>
      </c>
      <c r="H312">
        <v>1</v>
      </c>
      <c r="I312" s="1">
        <v>0</v>
      </c>
      <c r="J312" s="1">
        <v>1</v>
      </c>
      <c r="K312" s="1">
        <v>0</v>
      </c>
      <c r="L312" s="4">
        <v>0</v>
      </c>
    </row>
    <row r="313" spans="1:12" x14ac:dyDescent="0.15">
      <c r="A313" s="3" t="s">
        <v>12</v>
      </c>
      <c r="B313">
        <v>16649</v>
      </c>
      <c r="C313" t="str">
        <f>VLOOKUP($B313,'[1]DB PV ENI'!$A$4:$H$577,2,FALSE)</f>
        <v>CENTRO</v>
      </c>
      <c r="D313" t="str">
        <f>VLOOKUP($B313,'[1]DB PV ENI'!$A$4:$H$577,3,FALSE)</f>
        <v>LAZIO</v>
      </c>
      <c r="E313" t="str">
        <f>VLOOKUP($B313,'[1]DB PV ENI'!$A$4:$H$577,4,FALSE)</f>
        <v>FROSINONE</v>
      </c>
      <c r="F313" t="str">
        <f>VLOOKUP($B313,'[1]DB PV ENI'!$A$4:$H$577,5,FALSE)</f>
        <v>FROSINONE</v>
      </c>
      <c r="G313" t="str">
        <f>VLOOKUP($B313,'[1]DB PV ENI'!$A$4:$H$577,6,FALSE)</f>
        <v>VIALE VOLSCI KM 5,81</v>
      </c>
      <c r="H313">
        <v>6</v>
      </c>
      <c r="I313" s="1">
        <v>1</v>
      </c>
      <c r="J313" s="1">
        <v>5</v>
      </c>
      <c r="K313" s="1">
        <v>0</v>
      </c>
      <c r="L313" s="4">
        <v>0</v>
      </c>
    </row>
    <row r="314" spans="1:12" x14ac:dyDescent="0.15">
      <c r="A314" s="3" t="s">
        <v>12</v>
      </c>
      <c r="B314">
        <v>17111</v>
      </c>
      <c r="C314" t="str">
        <f>VLOOKUP($B314,'[1]DB PV ENI'!$A$4:$H$577,2,FALSE)</f>
        <v>CENTRO</v>
      </c>
      <c r="D314" t="str">
        <f>VLOOKUP($B314,'[1]DB PV ENI'!$A$4:$H$577,3,FALSE)</f>
        <v>LAZIO</v>
      </c>
      <c r="E314" t="str">
        <f>VLOOKUP($B314,'[1]DB PV ENI'!$A$4:$H$577,4,FALSE)</f>
        <v>ROMA</v>
      </c>
      <c r="F314" t="str">
        <f>VLOOKUP($B314,'[1]DB PV ENI'!$A$4:$H$577,5,FALSE)</f>
        <v>ROMA</v>
      </c>
      <c r="G314" t="str">
        <f>VLOOKUP($B314,'[1]DB PV ENI'!$A$4:$H$577,6,FALSE)</f>
        <v>SS SALARIA KM 14, 895 EST</v>
      </c>
      <c r="H314">
        <v>16</v>
      </c>
      <c r="I314" s="1">
        <v>7</v>
      </c>
      <c r="J314" s="1">
        <v>9</v>
      </c>
      <c r="K314" s="1">
        <v>0</v>
      </c>
      <c r="L314" s="4">
        <v>0</v>
      </c>
    </row>
    <row r="315" spans="1:12" x14ac:dyDescent="0.15">
      <c r="A315" s="3" t="s">
        <v>12</v>
      </c>
      <c r="B315">
        <v>24526</v>
      </c>
      <c r="C315" t="str">
        <f>VLOOKUP($B315,'[1]DB PV ENI'!$A$4:$H$577,2,FALSE)</f>
        <v>CENTRO</v>
      </c>
      <c r="D315" t="str">
        <f>VLOOKUP($B315,'[1]DB PV ENI'!$A$4:$H$577,3,FALSE)</f>
        <v>UMBRIA</v>
      </c>
      <c r="E315" t="str">
        <f>VLOOKUP($B315,'[1]DB PV ENI'!$A$4:$H$577,4,FALSE)</f>
        <v>PERUGIA</v>
      </c>
      <c r="F315" t="str">
        <f>VLOOKUP($B315,'[1]DB PV ENI'!$A$4:$H$577,5,FALSE)</f>
        <v>S.MARTINO IN CAMPO</v>
      </c>
      <c r="G315" t="str">
        <f>VLOOKUP($B315,'[1]DB PV ENI'!$A$4:$H$577,6,FALSE)</f>
        <v>KM62+110 E 45, S.MARTINO IN CAMPO</v>
      </c>
      <c r="H315">
        <v>3</v>
      </c>
      <c r="I315" s="1">
        <v>0</v>
      </c>
      <c r="J315" s="1">
        <v>3</v>
      </c>
      <c r="K315" s="1">
        <v>0</v>
      </c>
      <c r="L315" s="4">
        <v>0</v>
      </c>
    </row>
    <row r="316" spans="1:12" x14ac:dyDescent="0.15">
      <c r="A316" s="3" t="s">
        <v>12</v>
      </c>
      <c r="B316">
        <v>26866</v>
      </c>
      <c r="C316" t="str">
        <f>VLOOKUP($B316,'[1]DB PV ENI'!$A$4:$H$577,2,FALSE)</f>
        <v>CENTRO</v>
      </c>
      <c r="D316" t="str">
        <f>VLOOKUP($B316,'[1]DB PV ENI'!$A$4:$H$577,3,FALSE)</f>
        <v>ABRUZZO</v>
      </c>
      <c r="E316" t="str">
        <f>VLOOKUP($B316,'[1]DB PV ENI'!$A$4:$H$577,4,FALSE)</f>
        <v>PESCARA</v>
      </c>
      <c r="F316" t="str">
        <f>VLOOKUP($B316,'[1]DB PV ENI'!$A$4:$H$577,5,FALSE)</f>
        <v>PENNE</v>
      </c>
      <c r="G316" t="str">
        <f>VLOOKUP($B316,'[1]DB PV ENI'!$A$4:$H$577,6,FALSE)</f>
        <v>VIA G. ROSSA</v>
      </c>
      <c r="H316">
        <v>2</v>
      </c>
      <c r="I316" s="1">
        <v>0</v>
      </c>
      <c r="J316" s="1">
        <v>2</v>
      </c>
      <c r="K316" s="1">
        <v>0</v>
      </c>
      <c r="L316" s="4">
        <v>0</v>
      </c>
    </row>
    <row r="317" spans="1:12" x14ac:dyDescent="0.15">
      <c r="A317" s="3" t="s">
        <v>12</v>
      </c>
      <c r="B317">
        <v>27100</v>
      </c>
      <c r="C317" t="str">
        <f>VLOOKUP($B317,'[1]DB PV ENI'!$A$4:$H$577,2,FALSE)</f>
        <v>CENTRO</v>
      </c>
      <c r="D317" t="str">
        <f>VLOOKUP($B317,'[1]DB PV ENI'!$A$4:$H$577,3,FALSE)</f>
        <v>LAZIO</v>
      </c>
      <c r="E317" t="str">
        <f>VLOOKUP($B317,'[1]DB PV ENI'!$A$4:$H$577,4,FALSE)</f>
        <v>ROMA</v>
      </c>
      <c r="F317" t="str">
        <f>VLOOKUP($B317,'[1]DB PV ENI'!$A$4:$H$577,5,FALSE)</f>
        <v>ROMA</v>
      </c>
      <c r="G317" t="str">
        <f>VLOOKUP($B317,'[1]DB PV ENI'!$A$4:$H$577,6,FALSE)</f>
        <v>VIA CASILINA  110 110</v>
      </c>
      <c r="H317">
        <v>4</v>
      </c>
      <c r="I317" s="1">
        <v>1</v>
      </c>
      <c r="J317" s="1">
        <v>3</v>
      </c>
      <c r="K317" s="1">
        <v>0</v>
      </c>
      <c r="L317" s="4">
        <v>0</v>
      </c>
    </row>
    <row r="318" spans="1:12" x14ac:dyDescent="0.15">
      <c r="A318" s="3" t="s">
        <v>12</v>
      </c>
      <c r="B318">
        <v>27224</v>
      </c>
      <c r="C318" t="str">
        <f>VLOOKUP($B318,'[1]DB PV ENI'!$A$4:$H$577,2,FALSE)</f>
        <v>CENTRO</v>
      </c>
      <c r="D318" t="str">
        <f>VLOOKUP($B318,'[1]DB PV ENI'!$A$4:$H$577,3,FALSE)</f>
        <v>LAZIO</v>
      </c>
      <c r="E318" t="str">
        <f>VLOOKUP($B318,'[1]DB PV ENI'!$A$4:$H$577,4,FALSE)</f>
        <v>ROMA</v>
      </c>
      <c r="F318" t="str">
        <f>VLOOKUP($B318,'[1]DB PV ENI'!$A$4:$H$577,5,FALSE)</f>
        <v>CAMPAGNANO DI ROMA</v>
      </c>
      <c r="G318" t="str">
        <f>VLOOKUP($B318,'[1]DB PV ENI'!$A$4:$H$577,6,FALSE)</f>
        <v>SS 2 CASSIA BIS KM30</v>
      </c>
      <c r="H318">
        <v>5</v>
      </c>
      <c r="I318" s="1">
        <v>0</v>
      </c>
      <c r="J318" s="1">
        <v>5</v>
      </c>
      <c r="K318" s="1">
        <v>0</v>
      </c>
      <c r="L318" s="4">
        <v>0</v>
      </c>
    </row>
    <row r="319" spans="1:12" x14ac:dyDescent="0.15">
      <c r="A319" s="3" t="s">
        <v>12</v>
      </c>
      <c r="B319">
        <v>34201</v>
      </c>
      <c r="C319" t="str">
        <f>VLOOKUP($B319,'[1]DB PV ENI'!$A$4:$H$577,2,FALSE)</f>
        <v>CENTRO</v>
      </c>
      <c r="D319" t="str">
        <f>VLOOKUP($B319,'[1]DB PV ENI'!$A$4:$H$577,3,FALSE)</f>
        <v>TOSCANA</v>
      </c>
      <c r="E319" t="str">
        <f>VLOOKUP($B319,'[1]DB PV ENI'!$A$4:$H$577,4,FALSE)</f>
        <v>PISA</v>
      </c>
      <c r="F319" t="str">
        <f>VLOOKUP($B319,'[1]DB PV ENI'!$A$4:$H$577,5,FALSE)</f>
        <v>SANTA CROCE SULL'ARNO</v>
      </c>
      <c r="G319" t="str">
        <f>VLOOKUP($B319,'[1]DB PV ENI'!$A$4:$H$577,6,FALSE)</f>
        <v>VIA PROVINCIALE NUOVA FRANCESCA KM 8,000 SNC</v>
      </c>
      <c r="H319">
        <v>1</v>
      </c>
      <c r="I319" s="1">
        <v>1</v>
      </c>
      <c r="J319" s="1">
        <v>0</v>
      </c>
      <c r="K319" s="1">
        <v>0</v>
      </c>
      <c r="L319" s="4" t="e">
        <v>#DIV/0!</v>
      </c>
    </row>
    <row r="320" spans="1:12" x14ac:dyDescent="0.15">
      <c r="A320" s="3" t="s">
        <v>12</v>
      </c>
      <c r="B320">
        <v>36981</v>
      </c>
      <c r="C320" t="str">
        <f>VLOOKUP($B320,'[1]DB PV ENI'!$A$4:$H$577,2,FALSE)</f>
        <v>CENTRO</v>
      </c>
      <c r="D320" t="str">
        <f>VLOOKUP($B320,'[1]DB PV ENI'!$A$4:$H$577,3,FALSE)</f>
        <v>LAZIO</v>
      </c>
      <c r="E320" t="str">
        <f>VLOOKUP($B320,'[1]DB PV ENI'!$A$4:$H$577,4,FALSE)</f>
        <v>ROMA</v>
      </c>
      <c r="F320" t="str">
        <f>VLOOKUP($B320,'[1]DB PV ENI'!$A$4:$H$577,5,FALSE)</f>
        <v>ROMA</v>
      </c>
      <c r="G320" t="str">
        <f>VLOOKUP($B320,'[1]DB PV ENI'!$A$4:$H$577,6,FALSE)</f>
        <v>VIA COLLATINA 427, ANG. VIA PETITTI</v>
      </c>
      <c r="H320">
        <v>4</v>
      </c>
      <c r="I320" s="1">
        <v>1</v>
      </c>
      <c r="J320" s="1">
        <v>3</v>
      </c>
      <c r="K320" s="1">
        <v>0</v>
      </c>
      <c r="L320" s="4">
        <v>0</v>
      </c>
    </row>
    <row r="321" spans="1:12" x14ac:dyDescent="0.15">
      <c r="A321" s="3" t="s">
        <v>12</v>
      </c>
      <c r="B321">
        <v>37019</v>
      </c>
      <c r="C321" t="str">
        <f>VLOOKUP($B321,'[1]DB PV ENI'!$A$4:$H$577,2,FALSE)</f>
        <v>CENTRO</v>
      </c>
      <c r="D321" t="str">
        <f>VLOOKUP($B321,'[1]DB PV ENI'!$A$4:$H$577,3,FALSE)</f>
        <v>LAZIO</v>
      </c>
      <c r="E321" t="str">
        <f>VLOOKUP($B321,'[1]DB PV ENI'!$A$4:$H$577,4,FALSE)</f>
        <v>ROMA</v>
      </c>
      <c r="F321" t="str">
        <f>VLOOKUP($B321,'[1]DB PV ENI'!$A$4:$H$577,5,FALSE)</f>
        <v>ROMA</v>
      </c>
      <c r="G321" t="str">
        <f>VLOOKUP($B321,'[1]DB PV ENI'!$A$4:$H$577,6,FALSE)</f>
        <v>VIA PARIDE STEFANINI 3</v>
      </c>
      <c r="H321">
        <v>2</v>
      </c>
      <c r="I321" s="1">
        <v>1</v>
      </c>
      <c r="J321" s="1">
        <v>1</v>
      </c>
      <c r="K321" s="1">
        <v>0</v>
      </c>
      <c r="L321" s="4">
        <v>0</v>
      </c>
    </row>
    <row r="322" spans="1:12" x14ac:dyDescent="0.15">
      <c r="A322" s="3" t="s">
        <v>12</v>
      </c>
      <c r="B322">
        <v>55811</v>
      </c>
      <c r="C322" t="str">
        <f>VLOOKUP($B322,'[1]DB PV ENI'!$A$4:$H$577,2,FALSE)</f>
        <v>CENTRO</v>
      </c>
      <c r="D322" t="str">
        <f>VLOOKUP($B322,'[1]DB PV ENI'!$A$4:$H$577,3,FALSE)</f>
        <v>LAZIO</v>
      </c>
      <c r="E322" t="str">
        <f>VLOOKUP($B322,'[1]DB PV ENI'!$A$4:$H$577,4,FALSE)</f>
        <v>ROMA</v>
      </c>
      <c r="F322" t="str">
        <f>VLOOKUP($B322,'[1]DB PV ENI'!$A$4:$H$577,5,FALSE)</f>
        <v>POMEZIA</v>
      </c>
      <c r="G322" t="str">
        <f>VLOOKUP($B322,'[1]DB PV ENI'!$A$4:$H$577,6,FALSE)</f>
        <v>VIA PONTINA KM 31+384</v>
      </c>
      <c r="H322">
        <v>5</v>
      </c>
      <c r="I322" s="1">
        <v>0</v>
      </c>
      <c r="J322" s="1">
        <v>5</v>
      </c>
      <c r="K322" s="1">
        <v>0</v>
      </c>
      <c r="L322" s="4">
        <v>0</v>
      </c>
    </row>
    <row r="323" spans="1:12" x14ac:dyDescent="0.15">
      <c r="A323" s="3" t="s">
        <v>12</v>
      </c>
      <c r="B323">
        <v>55843</v>
      </c>
      <c r="C323" t="str">
        <f>VLOOKUP($B323,'[1]DB PV ENI'!$A$4:$H$577,2,FALSE)</f>
        <v>CENTRO</v>
      </c>
      <c r="D323" t="str">
        <f>VLOOKUP($B323,'[1]DB PV ENI'!$A$4:$H$577,3,FALSE)</f>
        <v>LAZIO</v>
      </c>
      <c r="E323" t="str">
        <f>VLOOKUP($B323,'[1]DB PV ENI'!$A$4:$H$577,4,FALSE)</f>
        <v>ROMA</v>
      </c>
      <c r="F323" t="str">
        <f>VLOOKUP($B323,'[1]DB PV ENI'!$A$4:$H$577,5,FALSE)</f>
        <v>ROMA</v>
      </c>
      <c r="G323" t="str">
        <f>VLOOKUP($B323,'[1]DB PV ENI'!$A$4:$H$577,6,FALSE)</f>
        <v>VIA DELLA MAGLIANA 242</v>
      </c>
      <c r="H323">
        <v>3</v>
      </c>
      <c r="I323" s="1">
        <v>2</v>
      </c>
      <c r="J323" s="1">
        <v>1</v>
      </c>
      <c r="K323" s="1">
        <v>0</v>
      </c>
      <c r="L323" s="4">
        <v>0</v>
      </c>
    </row>
    <row r="324" spans="1:12" x14ac:dyDescent="0.15">
      <c r="A324" s="3" t="s">
        <v>12</v>
      </c>
      <c r="B324">
        <v>56322</v>
      </c>
      <c r="C324" t="str">
        <f>VLOOKUP($B324,'[1]DB PV ENI'!$A$4:$H$577,2,FALSE)</f>
        <v>CENTRO</v>
      </c>
      <c r="D324" t="str">
        <f>VLOOKUP($B324,'[1]DB PV ENI'!$A$4:$H$577,3,FALSE)</f>
        <v>LAZIO</v>
      </c>
      <c r="E324" t="str">
        <f>VLOOKUP($B324,'[1]DB PV ENI'!$A$4:$H$577,4,FALSE)</f>
        <v>ROMA</v>
      </c>
      <c r="F324" t="str">
        <f>VLOOKUP($B324,'[1]DB PV ENI'!$A$4:$H$577,5,FALSE)</f>
        <v>ROMA</v>
      </c>
      <c r="G324" t="str">
        <f>VLOOKUP($B324,'[1]DB PV ENI'!$A$4:$H$577,6,FALSE)</f>
        <v>VIA AURELIA 711</v>
      </c>
      <c r="H324">
        <v>26</v>
      </c>
      <c r="I324" s="1">
        <v>8</v>
      </c>
      <c r="J324" s="1">
        <v>18</v>
      </c>
      <c r="K324" s="1">
        <v>0</v>
      </c>
      <c r="L324" s="4">
        <v>0</v>
      </c>
    </row>
    <row r="325" spans="1:12" x14ac:dyDescent="0.15">
      <c r="A325" s="3" t="s">
        <v>12</v>
      </c>
      <c r="B325">
        <v>57149</v>
      </c>
      <c r="C325" t="str">
        <f>VLOOKUP($B325,'[1]DB PV ENI'!$A$4:$H$577,2,FALSE)</f>
        <v>CENTRO</v>
      </c>
      <c r="D325" t="str">
        <f>VLOOKUP($B325,'[1]DB PV ENI'!$A$4:$H$577,3,FALSE)</f>
        <v>LAZIO</v>
      </c>
      <c r="E325" t="str">
        <f>VLOOKUP($B325,'[1]DB PV ENI'!$A$4:$H$577,4,FALSE)</f>
        <v>ROMA</v>
      </c>
      <c r="F325" t="str">
        <f>VLOOKUP($B325,'[1]DB PV ENI'!$A$4:$H$577,5,FALSE)</f>
        <v>SAN CESAREO</v>
      </c>
      <c r="G325" t="str">
        <f>VLOOKUP($B325,'[1]DB PV ENI'!$A$4:$H$577,6,FALSE)</f>
        <v>VIA CASILINA KM. 24+950</v>
      </c>
      <c r="H325">
        <v>33</v>
      </c>
      <c r="I325" s="1">
        <v>12</v>
      </c>
      <c r="J325" s="1">
        <v>21</v>
      </c>
      <c r="K325" s="1">
        <v>0</v>
      </c>
      <c r="L325" s="4">
        <v>0</v>
      </c>
    </row>
    <row r="326" spans="1:12" x14ac:dyDescent="0.15">
      <c r="A326" s="3" t="s">
        <v>12</v>
      </c>
      <c r="B326">
        <v>57176</v>
      </c>
      <c r="C326" t="str">
        <f>VLOOKUP($B326,'[1]DB PV ENI'!$A$4:$H$577,2,FALSE)</f>
        <v>CENTRO</v>
      </c>
      <c r="D326" t="str">
        <f>VLOOKUP($B326,'[1]DB PV ENI'!$A$4:$H$577,3,FALSE)</f>
        <v>LAZIO</v>
      </c>
      <c r="E326" t="str">
        <f>VLOOKUP($B326,'[1]DB PV ENI'!$A$4:$H$577,4,FALSE)</f>
        <v>ROMA</v>
      </c>
      <c r="F326" t="str">
        <f>VLOOKUP($B326,'[1]DB PV ENI'!$A$4:$H$577,5,FALSE)</f>
        <v>ROMA</v>
      </c>
      <c r="G326" t="str">
        <f>VLOOKUP($B326,'[1]DB PV ENI'!$A$4:$H$577,6,FALSE)</f>
        <v>VIA CASILINA KM 12+943, 1423</v>
      </c>
      <c r="H326">
        <v>10</v>
      </c>
      <c r="I326" s="1">
        <v>1</v>
      </c>
      <c r="J326" s="1">
        <v>9</v>
      </c>
      <c r="K326" s="1">
        <v>0</v>
      </c>
      <c r="L326" s="4">
        <v>0</v>
      </c>
    </row>
    <row r="327" spans="1:12" x14ac:dyDescent="0.15">
      <c r="A327" s="3" t="s">
        <v>12</v>
      </c>
      <c r="B327">
        <v>58258</v>
      </c>
      <c r="C327" t="str">
        <f>VLOOKUP($B327,'[1]DB PV ENI'!$A$4:$H$577,2,FALSE)</f>
        <v>CENTRO</v>
      </c>
      <c r="D327" t="str">
        <f>VLOOKUP($B327,'[1]DB PV ENI'!$A$4:$H$577,3,FALSE)</f>
        <v>LAZIO</v>
      </c>
      <c r="E327" t="str">
        <f>VLOOKUP($B327,'[1]DB PV ENI'!$A$4:$H$577,4,FALSE)</f>
        <v>ROMA</v>
      </c>
      <c r="F327" t="str">
        <f>VLOOKUP($B327,'[1]DB PV ENI'!$A$4:$H$577,5,FALSE)</f>
        <v>ROMA</v>
      </c>
      <c r="G327" t="str">
        <f>VLOOKUP($B327,'[1]DB PV ENI'!$A$4:$H$577,6,FALSE)</f>
        <v>VIA NOMENTANA, 850</v>
      </c>
      <c r="H327">
        <v>7</v>
      </c>
      <c r="I327" s="1">
        <v>2</v>
      </c>
      <c r="J327" s="1">
        <v>5</v>
      </c>
      <c r="K327" s="1">
        <v>0</v>
      </c>
      <c r="L327" s="4">
        <v>0</v>
      </c>
    </row>
    <row r="328" spans="1:12" x14ac:dyDescent="0.15">
      <c r="A328" s="3" t="s">
        <v>12</v>
      </c>
      <c r="B328">
        <v>58264</v>
      </c>
      <c r="C328" t="str">
        <f>VLOOKUP($B328,'[1]DB PV ENI'!$A$4:$H$577,2,FALSE)</f>
        <v>CENTRO</v>
      </c>
      <c r="D328" t="str">
        <f>VLOOKUP($B328,'[1]DB PV ENI'!$A$4:$H$577,3,FALSE)</f>
        <v>LAZIO</v>
      </c>
      <c r="E328" t="str">
        <f>VLOOKUP($B328,'[1]DB PV ENI'!$A$4:$H$577,4,FALSE)</f>
        <v>ROMA</v>
      </c>
      <c r="F328" t="str">
        <f>VLOOKUP($B328,'[1]DB PV ENI'!$A$4:$H$577,5,FALSE)</f>
        <v>ROMA</v>
      </c>
      <c r="G328" t="str">
        <f>VLOOKUP($B328,'[1]DB PV ENI'!$A$4:$H$577,6,FALSE)</f>
        <v>VIA CIAMPINO KM. 0+370 CAPANNELLE</v>
      </c>
      <c r="H328">
        <v>3</v>
      </c>
      <c r="I328" s="1">
        <v>1</v>
      </c>
      <c r="J328" s="1">
        <v>2</v>
      </c>
      <c r="K328" s="1">
        <v>0</v>
      </c>
      <c r="L328" s="4">
        <v>0</v>
      </c>
    </row>
    <row r="329" spans="1:12" x14ac:dyDescent="0.15">
      <c r="A329" s="3" t="s">
        <v>12</v>
      </c>
      <c r="B329">
        <v>58342</v>
      </c>
      <c r="C329" t="str">
        <f>VLOOKUP($B329,'[1]DB PV ENI'!$A$4:$H$577,2,FALSE)</f>
        <v>CENTRO</v>
      </c>
      <c r="D329" t="str">
        <f>VLOOKUP($B329,'[1]DB PV ENI'!$A$4:$H$577,3,FALSE)</f>
        <v>LAZIO</v>
      </c>
      <c r="E329" t="str">
        <f>VLOOKUP($B329,'[1]DB PV ENI'!$A$4:$H$577,4,FALSE)</f>
        <v>ROMA</v>
      </c>
      <c r="F329" t="str">
        <f>VLOOKUP($B329,'[1]DB PV ENI'!$A$4:$H$577,5,FALSE)</f>
        <v>ROMA</v>
      </c>
      <c r="G329" t="str">
        <f>VLOOKUP($B329,'[1]DB PV ENI'!$A$4:$H$577,6,FALSE)</f>
        <v>VIA GROTTA PERFETTA 546</v>
      </c>
      <c r="H329">
        <v>3</v>
      </c>
      <c r="I329" s="1">
        <v>1</v>
      </c>
      <c r="J329" s="1">
        <v>2</v>
      </c>
      <c r="K329" s="1">
        <v>0</v>
      </c>
      <c r="L329" s="4">
        <v>0</v>
      </c>
    </row>
    <row r="330" spans="1:12" x14ac:dyDescent="0.15">
      <c r="A330" s="3" t="s">
        <v>12</v>
      </c>
      <c r="B330">
        <v>58351</v>
      </c>
      <c r="C330" t="str">
        <f>VLOOKUP($B330,'[1]DB PV ENI'!$A$4:$H$577,2,FALSE)</f>
        <v>CENTRO</v>
      </c>
      <c r="D330" t="str">
        <f>VLOOKUP($B330,'[1]DB PV ENI'!$A$4:$H$577,3,FALSE)</f>
        <v>LAZIO</v>
      </c>
      <c r="E330" t="str">
        <f>VLOOKUP($B330,'[1]DB PV ENI'!$A$4:$H$577,4,FALSE)</f>
        <v>ROMA</v>
      </c>
      <c r="F330" t="str">
        <f>VLOOKUP($B330,'[1]DB PV ENI'!$A$4:$H$577,5,FALSE)</f>
        <v>VALMONTONE</v>
      </c>
      <c r="G330" t="str">
        <f>VLOOKUP($B330,'[1]DB PV ENI'!$A$4:$H$577,6,FALSE)</f>
        <v>VIA CASILINA KM 41</v>
      </c>
      <c r="H330">
        <v>6</v>
      </c>
      <c r="I330" s="1">
        <v>0</v>
      </c>
      <c r="J330" s="1">
        <v>6</v>
      </c>
      <c r="K330" s="1">
        <v>0</v>
      </c>
      <c r="L330" s="4">
        <v>0</v>
      </c>
    </row>
    <row r="331" spans="1:12" x14ac:dyDescent="0.15">
      <c r="A331" s="3" t="s">
        <v>12</v>
      </c>
      <c r="B331">
        <v>59309</v>
      </c>
      <c r="C331" t="str">
        <f>VLOOKUP($B331,'[1]DB PV ENI'!$A$4:$H$577,2,FALSE)</f>
        <v>CENTRO</v>
      </c>
      <c r="D331" t="str">
        <f>VLOOKUP($B331,'[1]DB PV ENI'!$A$4:$H$577,3,FALSE)</f>
        <v>LAZIO</v>
      </c>
      <c r="E331" t="str">
        <f>VLOOKUP($B331,'[1]DB PV ENI'!$A$4:$H$577,4,FALSE)</f>
        <v>ROMA</v>
      </c>
      <c r="F331" t="str">
        <f>VLOOKUP($B331,'[1]DB PV ENI'!$A$4:$H$577,5,FALSE)</f>
        <v>MORLUPO</v>
      </c>
      <c r="G331" t="str">
        <f>VLOOKUP($B331,'[1]DB PV ENI'!$A$4:$H$577,6,FALSE)</f>
        <v>VIA FLAMINIA KM. 29,700 SNC</v>
      </c>
      <c r="H331">
        <v>3</v>
      </c>
      <c r="I331" s="1">
        <v>1</v>
      </c>
      <c r="J331" s="1">
        <v>2</v>
      </c>
      <c r="K331" s="1">
        <v>0</v>
      </c>
      <c r="L331" s="4">
        <v>0</v>
      </c>
    </row>
    <row r="332" spans="1:12" x14ac:dyDescent="0.15">
      <c r="A332" s="3" t="s">
        <v>12</v>
      </c>
      <c r="B332">
        <v>59331</v>
      </c>
      <c r="C332" t="str">
        <f>VLOOKUP($B332,'[1]DB PV ENI'!$A$4:$H$577,2,FALSE)</f>
        <v>CENTRO</v>
      </c>
      <c r="D332" t="str">
        <f>VLOOKUP($B332,'[1]DB PV ENI'!$A$4:$H$577,3,FALSE)</f>
        <v>LAZIO</v>
      </c>
      <c r="E332" t="str">
        <f>VLOOKUP($B332,'[1]DB PV ENI'!$A$4:$H$577,4,FALSE)</f>
        <v>VITERBO</v>
      </c>
      <c r="F332" t="str">
        <f>VLOOKUP($B332,'[1]DB PV ENI'!$A$4:$H$577,5,FALSE)</f>
        <v>MONTALTO DI CASTRO</v>
      </c>
      <c r="G332" t="str">
        <f>VLOOKUP($B332,'[1]DB PV ENI'!$A$4:$H$577,6,FALSE)</f>
        <v>S.S. 1 AURELIA SUD KM 107+200</v>
      </c>
      <c r="H332">
        <v>5</v>
      </c>
      <c r="I332" s="1">
        <v>3</v>
      </c>
      <c r="J332" s="1">
        <v>2</v>
      </c>
      <c r="K332" s="1">
        <v>0</v>
      </c>
      <c r="L332" s="4">
        <v>0</v>
      </c>
    </row>
    <row r="333" spans="1:12" x14ac:dyDescent="0.15">
      <c r="A333" s="3" t="s">
        <v>12</v>
      </c>
      <c r="B333">
        <v>80008</v>
      </c>
      <c r="C333" t="str">
        <f>VLOOKUP($B333,'[1]DB PV ENI'!$A$4:$H$577,2,FALSE)</f>
        <v>CENTRO</v>
      </c>
      <c r="D333" t="str">
        <f>VLOOKUP($B333,'[1]DB PV ENI'!$A$4:$H$577,3,FALSE)</f>
        <v>LAZIO</v>
      </c>
      <c r="E333" t="str">
        <f>VLOOKUP($B333,'[1]DB PV ENI'!$A$4:$H$577,4,FALSE)</f>
        <v>ROMA</v>
      </c>
      <c r="F333" t="str">
        <f>VLOOKUP($B333,'[1]DB PV ENI'!$A$4:$H$577,5,FALSE)</f>
        <v>ROMA</v>
      </c>
      <c r="G333" t="str">
        <f>VLOOKUP($B333,'[1]DB PV ENI'!$A$4:$H$577,6,FALSE)</f>
        <v>CORSO FRANCIA</v>
      </c>
      <c r="H333">
        <v>12</v>
      </c>
      <c r="I333" s="1">
        <v>4</v>
      </c>
      <c r="J333" s="1">
        <v>8</v>
      </c>
      <c r="K333" s="1">
        <v>0</v>
      </c>
      <c r="L333" s="4">
        <v>0</v>
      </c>
    </row>
    <row r="334" spans="1:12" x14ac:dyDescent="0.15">
      <c r="A334" s="3" t="s">
        <v>12</v>
      </c>
      <c r="B334">
        <v>2705</v>
      </c>
      <c r="C334" t="str">
        <f>VLOOKUP($B334,'[1]DB PV ENI'!$A$4:$H$577,2,FALSE)</f>
        <v>NORD EST</v>
      </c>
      <c r="D334" t="str">
        <f>VLOOKUP($B334,'[1]DB PV ENI'!$A$4:$H$577,3,FALSE)</f>
        <v>EMILIA-ROMAGNA</v>
      </c>
      <c r="E334" t="str">
        <f>VLOOKUP($B334,'[1]DB PV ENI'!$A$4:$H$577,4,FALSE)</f>
        <v>PIACENZA</v>
      </c>
      <c r="F334" t="str">
        <f>VLOOKUP($B334,'[1]DB PV ENI'!$A$4:$H$577,5,FALSE)</f>
        <v>PODENZANO</v>
      </c>
      <c r="G334" t="str">
        <f>VLOOKUP($B334,'[1]DB PV ENI'!$A$4:$H$577,6,FALSE)</f>
        <v>VIA PAPA GIOVANNI XXIII</v>
      </c>
      <c r="H334">
        <v>1</v>
      </c>
      <c r="I334" s="1">
        <v>0</v>
      </c>
      <c r="J334" s="1">
        <v>1</v>
      </c>
      <c r="K334" s="1">
        <v>0</v>
      </c>
      <c r="L334" s="4">
        <v>0</v>
      </c>
    </row>
    <row r="335" spans="1:12" x14ac:dyDescent="0.15">
      <c r="A335" s="3" t="s">
        <v>12</v>
      </c>
      <c r="B335">
        <v>3521</v>
      </c>
      <c r="C335" t="str">
        <f>VLOOKUP($B335,'[1]DB PV ENI'!$A$4:$H$577,2,FALSE)</f>
        <v>NORD EST</v>
      </c>
      <c r="D335" t="str">
        <f>VLOOKUP($B335,'[1]DB PV ENI'!$A$4:$H$577,3,FALSE)</f>
        <v>TRENTINO-ALTO ADIGE</v>
      </c>
      <c r="E335" t="str">
        <f>VLOOKUP($B335,'[1]DB PV ENI'!$A$4:$H$577,4,FALSE)</f>
        <v>TRENTO</v>
      </c>
      <c r="F335" t="str">
        <f>VLOOKUP($B335,'[1]DB PV ENI'!$A$4:$H$577,5,FALSE)</f>
        <v>TRENTO</v>
      </c>
      <c r="G335" t="str">
        <f>VLOOKUP($B335,'[1]DB PV ENI'!$A$4:$H$577,6,FALSE)</f>
        <v>VIA MACCANI</v>
      </c>
      <c r="H335">
        <v>1</v>
      </c>
      <c r="I335" s="1">
        <v>1</v>
      </c>
      <c r="J335" s="1">
        <v>0</v>
      </c>
      <c r="K335" s="1">
        <v>0</v>
      </c>
      <c r="L335" s="4" t="e">
        <v>#DIV/0!</v>
      </c>
    </row>
    <row r="336" spans="1:12" x14ac:dyDescent="0.15">
      <c r="A336" s="3" t="s">
        <v>12</v>
      </c>
      <c r="B336">
        <v>3543</v>
      </c>
      <c r="C336" t="str">
        <f>VLOOKUP($B336,'[1]DB PV ENI'!$A$4:$H$577,2,FALSE)</f>
        <v>NORD EST</v>
      </c>
      <c r="D336" t="str">
        <f>VLOOKUP($B336,'[1]DB PV ENI'!$A$4:$H$577,3,FALSE)</f>
        <v>TRENTINO-ALTO ADIGE</v>
      </c>
      <c r="E336" t="str">
        <f>VLOOKUP($B336,'[1]DB PV ENI'!$A$4:$H$577,4,FALSE)</f>
        <v>TRENTO</v>
      </c>
      <c r="F336" t="str">
        <f>VLOOKUP($B336,'[1]DB PV ENI'!$A$4:$H$577,5,FALSE)</f>
        <v>RIVA DEL GARDA</v>
      </c>
      <c r="G336" t="str">
        <f>VLOOKUP($B336,'[1]DB PV ENI'!$A$4:$H$577,6,FALSE)</f>
        <v>VIALE CARDUCCI</v>
      </c>
      <c r="H336">
        <v>2</v>
      </c>
      <c r="I336" s="1">
        <v>1</v>
      </c>
      <c r="J336" s="1">
        <v>1</v>
      </c>
      <c r="K336" s="1">
        <v>0</v>
      </c>
      <c r="L336" s="4">
        <v>0</v>
      </c>
    </row>
    <row r="337" spans="1:12" x14ac:dyDescent="0.15">
      <c r="A337" s="3" t="s">
        <v>12</v>
      </c>
      <c r="B337">
        <v>3679</v>
      </c>
      <c r="C337" t="str">
        <f>VLOOKUP($B337,'[1]DB PV ENI'!$A$4:$H$577,2,FALSE)</f>
        <v>NORD EST</v>
      </c>
      <c r="D337" t="str">
        <f>VLOOKUP($B337,'[1]DB PV ENI'!$A$4:$H$577,3,FALSE)</f>
        <v>VENETO</v>
      </c>
      <c r="E337" t="str">
        <f>VLOOKUP($B337,'[1]DB PV ENI'!$A$4:$H$577,4,FALSE)</f>
        <v>VENEZIA</v>
      </c>
      <c r="F337" t="str">
        <f>VLOOKUP($B337,'[1]DB PV ENI'!$A$4:$H$577,5,FALSE)</f>
        <v>SAN DONÀ DI PIAVE</v>
      </c>
      <c r="G337" t="str">
        <f>VLOOKUP($B337,'[1]DB PV ENI'!$A$4:$H$577,6,FALSE)</f>
        <v>VIA NOVENTA 150</v>
      </c>
      <c r="H337">
        <v>3</v>
      </c>
      <c r="I337" s="1">
        <v>0</v>
      </c>
      <c r="J337" s="1">
        <v>3</v>
      </c>
      <c r="K337" s="1">
        <v>0</v>
      </c>
      <c r="L337" s="4">
        <v>0</v>
      </c>
    </row>
    <row r="338" spans="1:12" x14ac:dyDescent="0.15">
      <c r="A338" s="3" t="s">
        <v>12</v>
      </c>
      <c r="B338">
        <v>3733</v>
      </c>
      <c r="C338" t="str">
        <f>VLOOKUP($B338,'[1]DB PV ENI'!$A$4:$H$577,2,FALSE)</f>
        <v>NORD EST</v>
      </c>
      <c r="D338" t="str">
        <f>VLOOKUP($B338,'[1]DB PV ENI'!$A$4:$H$577,3,FALSE)</f>
        <v>VENETO</v>
      </c>
      <c r="E338" t="str">
        <f>VLOOKUP($B338,'[1]DB PV ENI'!$A$4:$H$577,4,FALSE)</f>
        <v>VENEZIA</v>
      </c>
      <c r="F338" t="str">
        <f>VLOOKUP($B338,'[1]DB PV ENI'!$A$4:$H$577,5,FALSE)</f>
        <v>VENEZIA</v>
      </c>
      <c r="G338" t="str">
        <f>VLOOKUP($B338,'[1]DB PV ENI'!$A$4:$H$577,6,FALSE)</f>
        <v>ROTATORIA ROMEA</v>
      </c>
      <c r="H338">
        <v>14</v>
      </c>
      <c r="I338" s="1">
        <v>1</v>
      </c>
      <c r="J338" s="1">
        <v>13</v>
      </c>
      <c r="K338" s="1">
        <v>0</v>
      </c>
      <c r="L338" s="4">
        <v>0</v>
      </c>
    </row>
    <row r="339" spans="1:12" x14ac:dyDescent="0.15">
      <c r="A339" s="3" t="s">
        <v>12</v>
      </c>
      <c r="B339">
        <v>3838</v>
      </c>
      <c r="C339" t="str">
        <f>VLOOKUP($B339,'[1]DB PV ENI'!$A$4:$H$577,2,FALSE)</f>
        <v>NORD EST</v>
      </c>
      <c r="D339" t="str">
        <f>VLOOKUP($B339,'[1]DB PV ENI'!$A$4:$H$577,3,FALSE)</f>
        <v>VENETO</v>
      </c>
      <c r="E339" t="str">
        <f>VLOOKUP($B339,'[1]DB PV ENI'!$A$4:$H$577,4,FALSE)</f>
        <v>VERONA</v>
      </c>
      <c r="F339" t="str">
        <f>VLOOKUP($B339,'[1]DB PV ENI'!$A$4:$H$577,5,FALSE)</f>
        <v>VERONA</v>
      </c>
      <c r="G339" t="str">
        <f>VLOOKUP($B339,'[1]DB PV ENI'!$A$4:$H$577,6,FALSE)</f>
        <v>VIALE DEL LAVORO 22</v>
      </c>
      <c r="H339">
        <v>11</v>
      </c>
      <c r="I339" s="1">
        <v>0</v>
      </c>
      <c r="J339" s="1">
        <v>11</v>
      </c>
      <c r="K339" s="1">
        <v>0</v>
      </c>
      <c r="L339" s="4">
        <v>0</v>
      </c>
    </row>
    <row r="340" spans="1:12" x14ac:dyDescent="0.15">
      <c r="A340" s="3" t="s">
        <v>12</v>
      </c>
      <c r="B340">
        <v>3965</v>
      </c>
      <c r="C340" t="str">
        <f>VLOOKUP($B340,'[1]DB PV ENI'!$A$4:$H$577,2,FALSE)</f>
        <v>NORD EST</v>
      </c>
      <c r="D340" t="str">
        <f>VLOOKUP($B340,'[1]DB PV ENI'!$A$4:$H$577,3,FALSE)</f>
        <v>VENETO</v>
      </c>
      <c r="E340" t="str">
        <f>VLOOKUP($B340,'[1]DB PV ENI'!$A$4:$H$577,4,FALSE)</f>
        <v>VICENZA</v>
      </c>
      <c r="F340" t="str">
        <f>VLOOKUP($B340,'[1]DB PV ENI'!$A$4:$H$577,5,FALSE)</f>
        <v>THIENE</v>
      </c>
      <c r="G340" t="str">
        <f>VLOOKUP($B340,'[1]DB PV ENI'!$A$4:$H$577,6,FALSE)</f>
        <v>VIA MARCONI 123/A</v>
      </c>
      <c r="H340">
        <v>7</v>
      </c>
      <c r="I340" s="1">
        <v>0</v>
      </c>
      <c r="J340" s="1">
        <v>7</v>
      </c>
      <c r="K340" s="1">
        <v>0</v>
      </c>
      <c r="L340" s="4">
        <v>0</v>
      </c>
    </row>
    <row r="341" spans="1:12" x14ac:dyDescent="0.15">
      <c r="A341" s="3" t="s">
        <v>12</v>
      </c>
      <c r="B341">
        <v>3994</v>
      </c>
      <c r="C341" t="str">
        <f>VLOOKUP($B341,'[1]DB PV ENI'!$A$4:$H$577,2,FALSE)</f>
        <v>NORD EST</v>
      </c>
      <c r="D341" t="str">
        <f>VLOOKUP($B341,'[1]DB PV ENI'!$A$4:$H$577,3,FALSE)</f>
        <v>VENETO</v>
      </c>
      <c r="E341" t="str">
        <f>VLOOKUP($B341,'[1]DB PV ENI'!$A$4:$H$577,4,FALSE)</f>
        <v>VICENZA</v>
      </c>
      <c r="F341" t="str">
        <f>VLOOKUP($B341,'[1]DB PV ENI'!$A$4:$H$577,5,FALSE)</f>
        <v>SCHIO</v>
      </c>
      <c r="G341" t="str">
        <f>VLOOKUP($B341,'[1]DB PV ENI'!$A$4:$H$577,6,FALSE)</f>
        <v>VIALE DELL'INDUSTRIA 140</v>
      </c>
      <c r="H341">
        <v>18</v>
      </c>
      <c r="I341" s="1">
        <v>5</v>
      </c>
      <c r="J341" s="1">
        <v>13</v>
      </c>
      <c r="K341" s="1">
        <v>0</v>
      </c>
      <c r="L341" s="4">
        <v>0</v>
      </c>
    </row>
    <row r="342" spans="1:12" x14ac:dyDescent="0.15">
      <c r="A342" s="3" t="s">
        <v>12</v>
      </c>
      <c r="B342">
        <v>4247</v>
      </c>
      <c r="C342" t="str">
        <f>VLOOKUP($B342,'[1]DB PV ENI'!$A$4:$H$577,2,FALSE)</f>
        <v>NORD EST</v>
      </c>
      <c r="D342" t="str">
        <f>VLOOKUP($B342,'[1]DB PV ENI'!$A$4:$H$577,3,FALSE)</f>
        <v>FRIULI VENEZIA GIULIA</v>
      </c>
      <c r="E342" t="str">
        <f>VLOOKUP($B342,'[1]DB PV ENI'!$A$4:$H$577,4,FALSE)</f>
        <v>PORDENONE</v>
      </c>
      <c r="F342" t="str">
        <f>VLOOKUP($B342,'[1]DB PV ENI'!$A$4:$H$577,5,FALSE)</f>
        <v>BRUGNERA</v>
      </c>
      <c r="G342" t="str">
        <f>VLOOKUP($B342,'[1]DB PV ENI'!$A$4:$H$577,6,FALSE)</f>
        <v>UNGARESCA 0017</v>
      </c>
      <c r="H342">
        <v>6</v>
      </c>
      <c r="I342" s="1">
        <v>1</v>
      </c>
      <c r="J342" s="1">
        <v>5</v>
      </c>
      <c r="K342" s="1">
        <v>0</v>
      </c>
      <c r="L342" s="4">
        <v>0</v>
      </c>
    </row>
    <row r="343" spans="1:12" x14ac:dyDescent="0.15">
      <c r="A343" s="3" t="s">
        <v>12</v>
      </c>
      <c r="B343">
        <v>5536</v>
      </c>
      <c r="C343" t="str">
        <f>VLOOKUP($B343,'[1]DB PV ENI'!$A$4:$H$577,2,FALSE)</f>
        <v>NORD EST</v>
      </c>
      <c r="D343" t="str">
        <f>VLOOKUP($B343,'[1]DB PV ENI'!$A$4:$H$577,3,FALSE)</f>
        <v>EMILIA-ROMAGNA</v>
      </c>
      <c r="E343" t="str">
        <f>VLOOKUP($B343,'[1]DB PV ENI'!$A$4:$H$577,4,FALSE)</f>
        <v>BOLOGNA</v>
      </c>
      <c r="F343" t="str">
        <f>VLOOKUP($B343,'[1]DB PV ENI'!$A$4:$H$577,5,FALSE)</f>
        <v>BOLOGNA</v>
      </c>
      <c r="G343" t="str">
        <f>VLOOKUP($B343,'[1]DB PV ENI'!$A$4:$H$577,6,FALSE)</f>
        <v>VIA ALDINI 186</v>
      </c>
      <c r="H343">
        <v>7</v>
      </c>
      <c r="I343" s="1">
        <v>1</v>
      </c>
      <c r="J343" s="1">
        <v>6</v>
      </c>
      <c r="K343" s="1">
        <v>0</v>
      </c>
      <c r="L343" s="4">
        <v>0</v>
      </c>
    </row>
    <row r="344" spans="1:12" x14ac:dyDescent="0.15">
      <c r="A344" s="3" t="s">
        <v>12</v>
      </c>
      <c r="B344">
        <v>5589</v>
      </c>
      <c r="C344" t="str">
        <f>VLOOKUP($B344,'[1]DB PV ENI'!$A$4:$H$577,2,FALSE)</f>
        <v>NORD EST</v>
      </c>
      <c r="D344" t="str">
        <f>VLOOKUP($B344,'[1]DB PV ENI'!$A$4:$H$577,3,FALSE)</f>
        <v>EMILIA-ROMAGNA</v>
      </c>
      <c r="E344" t="str">
        <f>VLOOKUP($B344,'[1]DB PV ENI'!$A$4:$H$577,4,FALSE)</f>
        <v>BOLOGNA</v>
      </c>
      <c r="F344" t="str">
        <f>VLOOKUP($B344,'[1]DB PV ENI'!$A$4:$H$577,5,FALSE)</f>
        <v>ZOLA PREDOSA</v>
      </c>
      <c r="G344" t="str">
        <f>VLOOKUP($B344,'[1]DB PV ENI'!$A$4:$H$577,6,FALSE)</f>
        <v>VIA RISORGIMENTO 77</v>
      </c>
      <c r="H344">
        <v>1</v>
      </c>
      <c r="I344" s="1">
        <v>0</v>
      </c>
      <c r="J344" s="1">
        <v>1</v>
      </c>
      <c r="K344" s="1">
        <v>0</v>
      </c>
      <c r="L344" s="4">
        <v>0</v>
      </c>
    </row>
    <row r="345" spans="1:12" x14ac:dyDescent="0.15">
      <c r="A345" s="3" t="s">
        <v>12</v>
      </c>
      <c r="B345">
        <v>5625</v>
      </c>
      <c r="C345" t="str">
        <f>VLOOKUP($B345,'[1]DB PV ENI'!$A$4:$H$577,2,FALSE)</f>
        <v>NORD EST</v>
      </c>
      <c r="D345" t="str">
        <f>VLOOKUP($B345,'[1]DB PV ENI'!$A$4:$H$577,3,FALSE)</f>
        <v>EMILIA-ROMAGNA</v>
      </c>
      <c r="E345" t="str">
        <f>VLOOKUP($B345,'[1]DB PV ENI'!$A$4:$H$577,4,FALSE)</f>
        <v>RAVENNA</v>
      </c>
      <c r="F345" t="str">
        <f>VLOOKUP($B345,'[1]DB PV ENI'!$A$4:$H$577,5,FALSE)</f>
        <v>RAVENNA</v>
      </c>
      <c r="G345" t="str">
        <f>VLOOKUP($B345,'[1]DB PV ENI'!$A$4:$H$577,6,FALSE)</f>
        <v>VIA RAVEGNANA,  329</v>
      </c>
      <c r="H345">
        <v>7</v>
      </c>
      <c r="I345" s="1">
        <v>0</v>
      </c>
      <c r="J345" s="1">
        <v>7</v>
      </c>
      <c r="K345" s="1">
        <v>0</v>
      </c>
      <c r="L345" s="4">
        <v>0</v>
      </c>
    </row>
    <row r="346" spans="1:12" x14ac:dyDescent="0.15">
      <c r="A346" s="3" t="s">
        <v>12</v>
      </c>
      <c r="B346">
        <v>5712</v>
      </c>
      <c r="C346" t="str">
        <f>VLOOKUP($B346,'[1]DB PV ENI'!$A$4:$H$577,2,FALSE)</f>
        <v>NORD EST</v>
      </c>
      <c r="D346" t="str">
        <f>VLOOKUP($B346,'[1]DB PV ENI'!$A$4:$H$577,3,FALSE)</f>
        <v>MARCHE</v>
      </c>
      <c r="E346" t="str">
        <f>VLOOKUP($B346,'[1]DB PV ENI'!$A$4:$H$577,4,FALSE)</f>
        <v>ANCONA</v>
      </c>
      <c r="F346" t="str">
        <f>VLOOKUP($B346,'[1]DB PV ENI'!$A$4:$H$577,5,FALSE)</f>
        <v>ANCONA</v>
      </c>
      <c r="G346" t="str">
        <f>VLOOKUP($B346,'[1]DB PV ENI'!$A$4:$H$577,6,FALSE)</f>
        <v>VIA DELLA MONTAGNOLA N.24</v>
      </c>
      <c r="H346">
        <v>9</v>
      </c>
      <c r="I346" s="1">
        <v>2</v>
      </c>
      <c r="J346" s="1">
        <v>7</v>
      </c>
      <c r="K346" s="1">
        <v>0</v>
      </c>
      <c r="L346" s="4">
        <v>0</v>
      </c>
    </row>
    <row r="347" spans="1:12" x14ac:dyDescent="0.15">
      <c r="A347" s="3" t="s">
        <v>12</v>
      </c>
      <c r="B347">
        <v>5713</v>
      </c>
      <c r="C347" t="str">
        <f>VLOOKUP($B347,'[1]DB PV ENI'!$A$4:$H$577,2,FALSE)</f>
        <v>NORD EST</v>
      </c>
      <c r="D347" t="str">
        <f>VLOOKUP($B347,'[1]DB PV ENI'!$A$4:$H$577,3,FALSE)</f>
        <v>MARCHE</v>
      </c>
      <c r="E347" t="str">
        <f>VLOOKUP($B347,'[1]DB PV ENI'!$A$4:$H$577,4,FALSE)</f>
        <v>ANCONA</v>
      </c>
      <c r="F347" t="str">
        <f>VLOOKUP($B347,'[1]DB PV ENI'!$A$4:$H$577,5,FALSE)</f>
        <v>OSIMO</v>
      </c>
      <c r="G347" t="str">
        <f>VLOOKUP($B347,'[1]DB PV ENI'!$A$4:$H$577,6,FALSE)</f>
        <v>VIA MARCO POLO 238</v>
      </c>
      <c r="H347">
        <v>1</v>
      </c>
      <c r="I347" s="1">
        <v>0</v>
      </c>
      <c r="J347" s="1">
        <v>1</v>
      </c>
      <c r="K347" s="1">
        <v>0</v>
      </c>
      <c r="L347" s="4">
        <v>0</v>
      </c>
    </row>
    <row r="348" spans="1:12" x14ac:dyDescent="0.15">
      <c r="A348" s="3" t="s">
        <v>12</v>
      </c>
      <c r="B348">
        <v>5755</v>
      </c>
      <c r="C348" t="str">
        <f>VLOOKUP($B348,'[1]DB PV ENI'!$A$4:$H$577,2,FALSE)</f>
        <v>NORD EST</v>
      </c>
      <c r="D348" t="str">
        <f>VLOOKUP($B348,'[1]DB PV ENI'!$A$4:$H$577,3,FALSE)</f>
        <v>MARCHE</v>
      </c>
      <c r="E348" t="str">
        <f>VLOOKUP($B348,'[1]DB PV ENI'!$A$4:$H$577,4,FALSE)</f>
        <v>ANCONA</v>
      </c>
      <c r="F348" t="str">
        <f>VLOOKUP($B348,'[1]DB PV ENI'!$A$4:$H$577,5,FALSE)</f>
        <v>CAMERANO</v>
      </c>
      <c r="G348" t="str">
        <f>VLOOKUP($B348,'[1]DB PV ENI'!$A$4:$H$577,6,FALSE)</f>
        <v>FRAZ. ASPIO SS 16</v>
      </c>
      <c r="H348">
        <v>1</v>
      </c>
      <c r="I348" s="1">
        <v>0</v>
      </c>
      <c r="J348" s="1">
        <v>1</v>
      </c>
      <c r="K348" s="1">
        <v>0</v>
      </c>
      <c r="L348" s="4">
        <v>0</v>
      </c>
    </row>
    <row r="349" spans="1:12" x14ac:dyDescent="0.15">
      <c r="A349" s="3" t="s">
        <v>12</v>
      </c>
      <c r="B349">
        <v>5766</v>
      </c>
      <c r="C349" t="str">
        <f>VLOOKUP($B349,'[1]DB PV ENI'!$A$4:$H$577,2,FALSE)</f>
        <v>NORD EST</v>
      </c>
      <c r="D349" t="str">
        <f>VLOOKUP($B349,'[1]DB PV ENI'!$A$4:$H$577,3,FALSE)</f>
        <v>MARCHE</v>
      </c>
      <c r="E349" t="str">
        <f>VLOOKUP($B349,'[1]DB PV ENI'!$A$4:$H$577,4,FALSE)</f>
        <v>ANCONA</v>
      </c>
      <c r="F349" t="str">
        <f>VLOOKUP($B349,'[1]DB PV ENI'!$A$4:$H$577,5,FALSE)</f>
        <v>FABRIANO</v>
      </c>
      <c r="G349" t="str">
        <f>VLOOKUP($B349,'[1]DB PV ENI'!$A$4:$H$577,6,FALSE)</f>
        <v>PROV.LE ARCEVIESE</v>
      </c>
      <c r="H349">
        <v>2</v>
      </c>
      <c r="I349" s="1">
        <v>0</v>
      </c>
      <c r="J349" s="1">
        <v>2</v>
      </c>
      <c r="K349" s="1">
        <v>0</v>
      </c>
      <c r="L349" s="4">
        <v>0</v>
      </c>
    </row>
    <row r="350" spans="1:12" x14ac:dyDescent="0.15">
      <c r="A350" s="3" t="s">
        <v>12</v>
      </c>
      <c r="B350">
        <v>5798</v>
      </c>
      <c r="C350" t="str">
        <f>VLOOKUP($B350,'[1]DB PV ENI'!$A$4:$H$577,2,FALSE)</f>
        <v>NORD EST</v>
      </c>
      <c r="D350" t="str">
        <f>VLOOKUP($B350,'[1]DB PV ENI'!$A$4:$H$577,3,FALSE)</f>
        <v>MARCHE</v>
      </c>
      <c r="E350" t="str">
        <f>VLOOKUP($B350,'[1]DB PV ENI'!$A$4:$H$577,4,FALSE)</f>
        <v>ANCONA</v>
      </c>
      <c r="F350" t="str">
        <f>VLOOKUP($B350,'[1]DB PV ENI'!$A$4:$H$577,5,FALSE)</f>
        <v>MONTE ROBERTO</v>
      </c>
      <c r="G350" t="str">
        <f>VLOOKUP($B350,'[1]DB PV ENI'!$A$4:$H$577,6,FALSE)</f>
        <v>SS 76 KM 51+485 VARIANTE SNC KM51</v>
      </c>
      <c r="H350">
        <v>2</v>
      </c>
      <c r="I350" s="1">
        <v>0</v>
      </c>
      <c r="J350" s="1">
        <v>2</v>
      </c>
      <c r="K350" s="1">
        <v>0</v>
      </c>
      <c r="L350" s="4">
        <v>0</v>
      </c>
    </row>
    <row r="351" spans="1:12" x14ac:dyDescent="0.15">
      <c r="A351" s="3" t="s">
        <v>12</v>
      </c>
      <c r="B351">
        <v>5829</v>
      </c>
      <c r="C351" t="str">
        <f>VLOOKUP($B351,'[1]DB PV ENI'!$A$4:$H$577,2,FALSE)</f>
        <v>NORD EST</v>
      </c>
      <c r="D351" t="str">
        <f>VLOOKUP($B351,'[1]DB PV ENI'!$A$4:$H$577,3,FALSE)</f>
        <v>EMILIA-ROMAGNA</v>
      </c>
      <c r="E351" t="str">
        <f>VLOOKUP($B351,'[1]DB PV ENI'!$A$4:$H$577,4,FALSE)</f>
        <v>FERRARA</v>
      </c>
      <c r="F351" t="str">
        <f>VLOOKUP($B351,'[1]DB PV ENI'!$A$4:$H$577,5,FALSE)</f>
        <v>FERRARA</v>
      </c>
      <c r="G351" t="str">
        <f>VLOOKUP($B351,'[1]DB PV ENI'!$A$4:$H$577,6,FALSE)</f>
        <v>VIA RAVENNA 78</v>
      </c>
      <c r="H351">
        <v>4</v>
      </c>
      <c r="I351" s="1">
        <v>3</v>
      </c>
      <c r="J351" s="1">
        <v>1</v>
      </c>
      <c r="K351" s="1">
        <v>0</v>
      </c>
      <c r="L351" s="4">
        <v>0</v>
      </c>
    </row>
    <row r="352" spans="1:12" x14ac:dyDescent="0.15">
      <c r="A352" s="3" t="s">
        <v>12</v>
      </c>
      <c r="B352">
        <v>5887</v>
      </c>
      <c r="C352" t="str">
        <f>VLOOKUP($B352,'[1]DB PV ENI'!$A$4:$H$577,2,FALSE)</f>
        <v>NORD EST</v>
      </c>
      <c r="D352" t="str">
        <f>VLOOKUP($B352,'[1]DB PV ENI'!$A$4:$H$577,3,FALSE)</f>
        <v>EMILIA-ROMAGNA</v>
      </c>
      <c r="E352" t="str">
        <f>VLOOKUP($B352,'[1]DB PV ENI'!$A$4:$H$577,4,FALSE)</f>
        <v>FERRARA</v>
      </c>
      <c r="F352" t="str">
        <f>VLOOKUP($B352,'[1]DB PV ENI'!$A$4:$H$577,5,FALSE)</f>
        <v>FERRARA</v>
      </c>
      <c r="G352" t="str">
        <f>VLOOKUP($B352,'[1]DB PV ENI'!$A$4:$H$577,6,FALSE)</f>
        <v>VIA MODENA, 236/P</v>
      </c>
      <c r="H352">
        <v>4</v>
      </c>
      <c r="I352" s="1">
        <v>1</v>
      </c>
      <c r="J352" s="1">
        <v>3</v>
      </c>
      <c r="K352" s="1">
        <v>0</v>
      </c>
      <c r="L352" s="4">
        <v>0</v>
      </c>
    </row>
    <row r="353" spans="1:12" x14ac:dyDescent="0.15">
      <c r="A353" s="3" t="s">
        <v>12</v>
      </c>
      <c r="B353">
        <v>5911</v>
      </c>
      <c r="C353" t="str">
        <f>VLOOKUP($B353,'[1]DB PV ENI'!$A$4:$H$577,2,FALSE)</f>
        <v>NORD EST</v>
      </c>
      <c r="D353" t="str">
        <f>VLOOKUP($B353,'[1]DB PV ENI'!$A$4:$H$577,3,FALSE)</f>
        <v>EMILIA-ROMAGNA</v>
      </c>
      <c r="E353" t="str">
        <f>VLOOKUP($B353,'[1]DB PV ENI'!$A$4:$H$577,4,FALSE)</f>
        <v>FORLI CESENA</v>
      </c>
      <c r="F353" t="str">
        <f>VLOOKUP($B353,'[1]DB PV ENI'!$A$4:$H$577,5,FALSE)</f>
        <v>CESENA</v>
      </c>
      <c r="G353" t="str">
        <f>VLOOKUP($B353,'[1]DB PV ENI'!$A$4:$H$577,6,FALSE)</f>
        <v>VIA ROMEA 1498</v>
      </c>
      <c r="H353">
        <v>3</v>
      </c>
      <c r="I353" s="1">
        <v>2</v>
      </c>
      <c r="J353" s="1">
        <v>1</v>
      </c>
      <c r="K353" s="1">
        <v>0</v>
      </c>
      <c r="L353" s="4">
        <v>0</v>
      </c>
    </row>
    <row r="354" spans="1:12" x14ac:dyDescent="0.15">
      <c r="A354" s="3" t="s">
        <v>12</v>
      </c>
      <c r="B354">
        <v>5918</v>
      </c>
      <c r="C354" t="str">
        <f>VLOOKUP($B354,'[1]DB PV ENI'!$A$4:$H$577,2,FALSE)</f>
        <v>NORD EST</v>
      </c>
      <c r="D354" t="str">
        <f>VLOOKUP($B354,'[1]DB PV ENI'!$A$4:$H$577,3,FALSE)</f>
        <v>EMILIA-ROMAGNA</v>
      </c>
      <c r="E354" t="str">
        <f>VLOOKUP($B354,'[1]DB PV ENI'!$A$4:$H$577,4,FALSE)</f>
        <v>RIMINI</v>
      </c>
      <c r="F354" t="str">
        <f>VLOOKUP($B354,'[1]DB PV ENI'!$A$4:$H$577,5,FALSE)</f>
        <v>SANTARCANGELO DI ROMAGNA</v>
      </c>
      <c r="G354" t="str">
        <f>VLOOKUP($B354,'[1]DB PV ENI'!$A$4:$H$577,6,FALSE)</f>
        <v>VIA EMILIA, 1837</v>
      </c>
      <c r="H354">
        <v>7</v>
      </c>
      <c r="I354" s="1">
        <v>1</v>
      </c>
      <c r="J354" s="1">
        <v>6</v>
      </c>
      <c r="K354" s="1">
        <v>0</v>
      </c>
      <c r="L354" s="4">
        <v>0</v>
      </c>
    </row>
    <row r="355" spans="1:12" x14ac:dyDescent="0.15">
      <c r="A355" s="3" t="s">
        <v>12</v>
      </c>
      <c r="B355">
        <v>6259</v>
      </c>
      <c r="C355" t="str">
        <f>VLOOKUP($B355,'[1]DB PV ENI'!$A$4:$H$577,2,FALSE)</f>
        <v>NORD EST</v>
      </c>
      <c r="D355" t="str">
        <f>VLOOKUP($B355,'[1]DB PV ENI'!$A$4:$H$577,3,FALSE)</f>
        <v>EMILIA-ROMAGNA</v>
      </c>
      <c r="E355" t="str">
        <f>VLOOKUP($B355,'[1]DB PV ENI'!$A$4:$H$577,4,FALSE)</f>
        <v>MODENA</v>
      </c>
      <c r="F355" t="str">
        <f>VLOOKUP($B355,'[1]DB PV ENI'!$A$4:$H$577,5,FALSE)</f>
        <v>MODENA</v>
      </c>
      <c r="G355" t="str">
        <f>VLOOKUP($B355,'[1]DB PV ENI'!$A$4:$H$577,6,FALSE)</f>
        <v>VIA CANALETTO, 62</v>
      </c>
      <c r="H355">
        <v>3</v>
      </c>
      <c r="I355" s="1">
        <v>0</v>
      </c>
      <c r="J355" s="1">
        <v>3</v>
      </c>
      <c r="K355" s="1">
        <v>0</v>
      </c>
      <c r="L355" s="4">
        <v>0</v>
      </c>
    </row>
    <row r="356" spans="1:12" x14ac:dyDescent="0.15">
      <c r="A356" s="3" t="s">
        <v>12</v>
      </c>
      <c r="B356">
        <v>6761</v>
      </c>
      <c r="C356" t="str">
        <f>VLOOKUP($B356,'[1]DB PV ENI'!$A$4:$H$577,2,FALSE)</f>
        <v>NORD EST</v>
      </c>
      <c r="D356" t="str">
        <f>VLOOKUP($B356,'[1]DB PV ENI'!$A$4:$H$577,3,FALSE)</f>
        <v>MARCHE</v>
      </c>
      <c r="E356" t="str">
        <f>VLOOKUP($B356,'[1]DB PV ENI'!$A$4:$H$577,4,FALSE)</f>
        <v>MACERATA</v>
      </c>
      <c r="F356" t="str">
        <f>VLOOKUP($B356,'[1]DB PV ENI'!$A$4:$H$577,5,FALSE)</f>
        <v>MACERATA</v>
      </c>
      <c r="G356" t="str">
        <f>VLOOKUP($B356,'[1]DB PV ENI'!$A$4:$H$577,6,FALSE)</f>
        <v>S.S.77 KM 84 LOC. SFORZACOSTA</v>
      </c>
      <c r="H356">
        <v>1</v>
      </c>
      <c r="I356" s="1">
        <v>0</v>
      </c>
      <c r="J356" s="1">
        <v>1</v>
      </c>
      <c r="K356" s="1">
        <v>0</v>
      </c>
      <c r="L356" s="4">
        <v>0</v>
      </c>
    </row>
    <row r="357" spans="1:12" x14ac:dyDescent="0.15">
      <c r="A357" s="3" t="s">
        <v>12</v>
      </c>
      <c r="B357">
        <v>6791</v>
      </c>
      <c r="C357" t="str">
        <f>VLOOKUP($B357,'[1]DB PV ENI'!$A$4:$H$577,2,FALSE)</f>
        <v>NORD EST</v>
      </c>
      <c r="D357" t="str">
        <f>VLOOKUP($B357,'[1]DB PV ENI'!$A$4:$H$577,3,FALSE)</f>
        <v>MARCHE</v>
      </c>
      <c r="E357" t="str">
        <f>VLOOKUP($B357,'[1]DB PV ENI'!$A$4:$H$577,4,FALSE)</f>
        <v>MACERATA</v>
      </c>
      <c r="F357" t="str">
        <f>VLOOKUP($B357,'[1]DB PV ENI'!$A$4:$H$577,5,FALSE)</f>
        <v>MACERATA</v>
      </c>
      <c r="G357" t="str">
        <f>VLOOKUP($B357,'[1]DB PV ENI'!$A$4:$H$577,6,FALSE)</f>
        <v>VIA ROMA</v>
      </c>
      <c r="H357">
        <v>22</v>
      </c>
      <c r="I357" s="1">
        <v>8</v>
      </c>
      <c r="J357" s="1">
        <v>14</v>
      </c>
      <c r="K357" s="1">
        <v>0</v>
      </c>
      <c r="L357" s="4">
        <v>0</v>
      </c>
    </row>
    <row r="358" spans="1:12" x14ac:dyDescent="0.15">
      <c r="A358" s="3" t="s">
        <v>12</v>
      </c>
      <c r="B358">
        <v>7299</v>
      </c>
      <c r="C358" t="str">
        <f>VLOOKUP($B358,'[1]DB PV ENI'!$A$4:$H$577,2,FALSE)</f>
        <v>NORD EST</v>
      </c>
      <c r="D358" t="str">
        <f>VLOOKUP($B358,'[1]DB PV ENI'!$A$4:$H$577,3,FALSE)</f>
        <v>MARCHE</v>
      </c>
      <c r="E358" t="str">
        <f>VLOOKUP($B358,'[1]DB PV ENI'!$A$4:$H$577,4,FALSE)</f>
        <v>ASCOLI PICENO</v>
      </c>
      <c r="F358" t="str">
        <f>VLOOKUP($B358,'[1]DB PV ENI'!$A$4:$H$577,5,FALSE)</f>
        <v>GROTTAMMARE</v>
      </c>
      <c r="G358" t="str">
        <f>VLOOKUP($B358,'[1]DB PV ENI'!$A$4:$H$577,6,FALSE)</f>
        <v>VIA BERNINI</v>
      </c>
      <c r="H358">
        <v>6</v>
      </c>
      <c r="I358" s="1">
        <v>1</v>
      </c>
      <c r="J358" s="1">
        <v>5</v>
      </c>
      <c r="K358" s="1">
        <v>0</v>
      </c>
      <c r="L358" s="4">
        <v>0</v>
      </c>
    </row>
    <row r="359" spans="1:12" x14ac:dyDescent="0.15">
      <c r="A359" s="3" t="s">
        <v>12</v>
      </c>
      <c r="B359">
        <v>13155</v>
      </c>
      <c r="C359" t="str">
        <f>VLOOKUP($B359,'[1]DB PV ENI'!$A$4:$H$577,2,FALSE)</f>
        <v>NORD EST</v>
      </c>
      <c r="D359" t="str">
        <f>VLOOKUP($B359,'[1]DB PV ENI'!$A$4:$H$577,3,FALSE)</f>
        <v>TRENTINO-ALTO ADIGE</v>
      </c>
      <c r="E359" t="str">
        <f>VLOOKUP($B359,'[1]DB PV ENI'!$A$4:$H$577,4,FALSE)</f>
        <v>BOLZANO</v>
      </c>
      <c r="F359" t="str">
        <f>VLOOKUP($B359,'[1]DB PV ENI'!$A$4:$H$577,5,FALSE)</f>
        <v>BOLZANO</v>
      </c>
      <c r="G359" t="str">
        <f>VLOOKUP($B359,'[1]DB PV ENI'!$A$4:$H$577,6,FALSE)</f>
        <v>VIA OLTREADIGE, 20</v>
      </c>
      <c r="H359">
        <v>4</v>
      </c>
      <c r="I359" s="1">
        <v>0</v>
      </c>
      <c r="J359" s="1">
        <v>4</v>
      </c>
      <c r="K359" s="1">
        <v>0</v>
      </c>
      <c r="L359" s="4">
        <v>0</v>
      </c>
    </row>
    <row r="360" spans="1:12" x14ac:dyDescent="0.15">
      <c r="A360" s="3" t="s">
        <v>12</v>
      </c>
      <c r="B360">
        <v>13623</v>
      </c>
      <c r="C360" t="str">
        <f>VLOOKUP($B360,'[1]DB PV ENI'!$A$4:$H$577,2,FALSE)</f>
        <v>NORD EST</v>
      </c>
      <c r="D360" t="str">
        <f>VLOOKUP($B360,'[1]DB PV ENI'!$A$4:$H$577,3,FALSE)</f>
        <v>VENETO</v>
      </c>
      <c r="E360" t="str">
        <f>VLOOKUP($B360,'[1]DB PV ENI'!$A$4:$H$577,4,FALSE)</f>
        <v>TREVISO</v>
      </c>
      <c r="F360" t="str">
        <f>VLOOKUP($B360,'[1]DB PV ENI'!$A$4:$H$577,5,FALSE)</f>
        <v>VITTORIO VENETO</v>
      </c>
      <c r="G360" t="str">
        <f>VLOOKUP($B360,'[1]DB PV ENI'!$A$4:$H$577,6,FALSE)</f>
        <v>VIA S.ANTONIO DA PADOVA SS 51</v>
      </c>
      <c r="H360">
        <v>2</v>
      </c>
      <c r="I360" s="1">
        <v>0</v>
      </c>
      <c r="J360" s="1">
        <v>2</v>
      </c>
      <c r="K360" s="1">
        <v>0</v>
      </c>
      <c r="L360" s="4">
        <v>0</v>
      </c>
    </row>
    <row r="361" spans="1:12" x14ac:dyDescent="0.15">
      <c r="A361" s="3" t="s">
        <v>12</v>
      </c>
      <c r="B361">
        <v>13722</v>
      </c>
      <c r="C361" t="str">
        <f>VLOOKUP($B361,'[1]DB PV ENI'!$A$4:$H$577,2,FALSE)</f>
        <v>NORD EST</v>
      </c>
      <c r="D361" t="str">
        <f>VLOOKUP($B361,'[1]DB PV ENI'!$A$4:$H$577,3,FALSE)</f>
        <v>VENETO</v>
      </c>
      <c r="E361" t="str">
        <f>VLOOKUP($B361,'[1]DB PV ENI'!$A$4:$H$577,4,FALSE)</f>
        <v>VENEZIA</v>
      </c>
      <c r="F361" t="str">
        <f>VLOOKUP($B361,'[1]DB PV ENI'!$A$4:$H$577,5,FALSE)</f>
        <v>PORTOGRUARO</v>
      </c>
      <c r="G361" t="str">
        <f>VLOOKUP($B361,'[1]DB PV ENI'!$A$4:$H$577,6,FALSE)</f>
        <v>VIA PORDENONE, 78</v>
      </c>
      <c r="H361">
        <v>3</v>
      </c>
      <c r="I361" s="1">
        <v>0</v>
      </c>
      <c r="J361" s="1">
        <v>3</v>
      </c>
      <c r="K361" s="1">
        <v>0</v>
      </c>
      <c r="L361" s="4">
        <v>0</v>
      </c>
    </row>
    <row r="362" spans="1:12" x14ac:dyDescent="0.15">
      <c r="A362" s="3" t="s">
        <v>12</v>
      </c>
      <c r="B362">
        <v>13734</v>
      </c>
      <c r="C362" t="str">
        <f>VLOOKUP($B362,'[1]DB PV ENI'!$A$4:$H$577,2,FALSE)</f>
        <v>NORD EST</v>
      </c>
      <c r="D362" t="str">
        <f>VLOOKUP($B362,'[1]DB PV ENI'!$A$4:$H$577,3,FALSE)</f>
        <v>VENETO</v>
      </c>
      <c r="E362" t="str">
        <f>VLOOKUP($B362,'[1]DB PV ENI'!$A$4:$H$577,4,FALSE)</f>
        <v>VENEZIA</v>
      </c>
      <c r="F362" t="str">
        <f>VLOOKUP($B362,'[1]DB PV ENI'!$A$4:$H$577,5,FALSE)</f>
        <v>PIANIGA</v>
      </c>
      <c r="G362" t="str">
        <f>VLOOKUP($B362,'[1]DB PV ENI'!$A$4:$H$577,6,FALSE)</f>
        <v>STAZIONE 1</v>
      </c>
      <c r="H362">
        <v>5</v>
      </c>
      <c r="I362" s="1">
        <v>2</v>
      </c>
      <c r="J362" s="1">
        <v>3</v>
      </c>
      <c r="K362" s="1">
        <v>0</v>
      </c>
      <c r="L362" s="4">
        <v>0</v>
      </c>
    </row>
    <row r="363" spans="1:12" x14ac:dyDescent="0.15">
      <c r="A363" s="3" t="s">
        <v>12</v>
      </c>
      <c r="B363">
        <v>13850</v>
      </c>
      <c r="C363" t="str">
        <f>VLOOKUP($B363,'[1]DB PV ENI'!$A$4:$H$577,2,FALSE)</f>
        <v>NORD EST</v>
      </c>
      <c r="D363" t="str">
        <f>VLOOKUP($B363,'[1]DB PV ENI'!$A$4:$H$577,3,FALSE)</f>
        <v>VENETO</v>
      </c>
      <c r="E363" t="str">
        <f>VLOOKUP($B363,'[1]DB PV ENI'!$A$4:$H$577,4,FALSE)</f>
        <v>VERONA</v>
      </c>
      <c r="F363" t="str">
        <f>VLOOKUP($B363,'[1]DB PV ENI'!$A$4:$H$577,5,FALSE)</f>
        <v>ZEVIO</v>
      </c>
      <c r="G363" t="str">
        <f>VLOOKUP($B363,'[1]DB PV ENI'!$A$4:$H$577,6,FALSE)</f>
        <v>S.S.434 TRANSPOLESANA KM.7+400</v>
      </c>
      <c r="H363">
        <v>2</v>
      </c>
      <c r="I363" s="1">
        <v>2</v>
      </c>
      <c r="J363" s="1">
        <v>0</v>
      </c>
      <c r="K363" s="1">
        <v>0</v>
      </c>
      <c r="L363" s="4" t="e">
        <v>#DIV/0!</v>
      </c>
    </row>
    <row r="364" spans="1:12" x14ac:dyDescent="0.15">
      <c r="A364" s="3" t="s">
        <v>12</v>
      </c>
      <c r="B364">
        <v>13911</v>
      </c>
      <c r="C364" t="str">
        <f>VLOOKUP($B364,'[1]DB PV ENI'!$A$4:$H$577,2,FALSE)</f>
        <v>NORD EST</v>
      </c>
      <c r="D364" t="str">
        <f>VLOOKUP($B364,'[1]DB PV ENI'!$A$4:$H$577,3,FALSE)</f>
        <v>VENETO</v>
      </c>
      <c r="E364" t="str">
        <f>VLOOKUP($B364,'[1]DB PV ENI'!$A$4:$H$577,4,FALSE)</f>
        <v>VICENZA</v>
      </c>
      <c r="F364" t="str">
        <f>VLOOKUP($B364,'[1]DB PV ENI'!$A$4:$H$577,5,FALSE)</f>
        <v>ALBETTONE</v>
      </c>
      <c r="G364" t="str">
        <f>VLOOKUP($B364,'[1]DB PV ENI'!$A$4:$H$577,6,FALSE)</f>
        <v>VIA FORNACI 10    SS 247</v>
      </c>
      <c r="H364">
        <v>6</v>
      </c>
      <c r="I364" s="1">
        <v>1</v>
      </c>
      <c r="J364" s="1">
        <v>5</v>
      </c>
      <c r="K364" s="1">
        <v>0</v>
      </c>
      <c r="L364" s="4">
        <v>0</v>
      </c>
    </row>
    <row r="365" spans="1:12" x14ac:dyDescent="0.15">
      <c r="A365" s="3" t="s">
        <v>12</v>
      </c>
      <c r="B365">
        <v>15501</v>
      </c>
      <c r="C365" t="str">
        <f>VLOOKUP($B365,'[1]DB PV ENI'!$A$4:$H$577,2,FALSE)</f>
        <v>NORD EST</v>
      </c>
      <c r="D365" t="str">
        <f>VLOOKUP($B365,'[1]DB PV ENI'!$A$4:$H$577,3,FALSE)</f>
        <v>EMILIA-ROMAGNA</v>
      </c>
      <c r="E365" t="str">
        <f>VLOOKUP($B365,'[1]DB PV ENI'!$A$4:$H$577,4,FALSE)</f>
        <v>BOLOGNA</v>
      </c>
      <c r="F365" t="str">
        <f>VLOOKUP($B365,'[1]DB PV ENI'!$A$4:$H$577,5,FALSE)</f>
        <v>MALALBERGO</v>
      </c>
      <c r="G365" t="str">
        <f>VLOOKUP($B365,'[1]DB PV ENI'!$A$4:$H$577,6,FALSE)</f>
        <v>S.S. 64 LOCALITA' ALTEDO</v>
      </c>
      <c r="H365">
        <v>3</v>
      </c>
      <c r="I365" s="1">
        <v>2</v>
      </c>
      <c r="J365" s="1">
        <v>1</v>
      </c>
      <c r="K365" s="1">
        <v>0</v>
      </c>
      <c r="L365" s="4">
        <v>0</v>
      </c>
    </row>
    <row r="366" spans="1:12" x14ac:dyDescent="0.15">
      <c r="A366" s="3" t="s">
        <v>12</v>
      </c>
      <c r="B366">
        <v>15503</v>
      </c>
      <c r="C366" t="str">
        <f>VLOOKUP($B366,'[1]DB PV ENI'!$A$4:$H$577,2,FALSE)</f>
        <v>NORD EST</v>
      </c>
      <c r="D366" t="str">
        <f>VLOOKUP($B366,'[1]DB PV ENI'!$A$4:$H$577,3,FALSE)</f>
        <v>EMILIA-ROMAGNA</v>
      </c>
      <c r="E366" t="str">
        <f>VLOOKUP($B366,'[1]DB PV ENI'!$A$4:$H$577,4,FALSE)</f>
        <v>BOLOGNA</v>
      </c>
      <c r="F366" t="str">
        <f>VLOOKUP($B366,'[1]DB PV ENI'!$A$4:$H$577,5,FALSE)</f>
        <v>IMOLA</v>
      </c>
      <c r="G366" t="str">
        <f>VLOOKUP($B366,'[1]DB PV ENI'!$A$4:$H$577,6,FALSE)</f>
        <v>VIA SELICE KM. 2</v>
      </c>
      <c r="H366">
        <v>7</v>
      </c>
      <c r="I366" s="1">
        <v>3</v>
      </c>
      <c r="J366" s="1">
        <v>4</v>
      </c>
      <c r="K366" s="1">
        <v>0</v>
      </c>
      <c r="L366" s="4">
        <v>0</v>
      </c>
    </row>
    <row r="367" spans="1:12" x14ac:dyDescent="0.15">
      <c r="A367" s="3" t="s">
        <v>12</v>
      </c>
      <c r="B367">
        <v>17310</v>
      </c>
      <c r="C367" t="str">
        <f>VLOOKUP($B367,'[1]DB PV ENI'!$A$4:$H$577,2,FALSE)</f>
        <v>NORD EST</v>
      </c>
      <c r="D367" t="str">
        <f>VLOOKUP($B367,'[1]DB PV ENI'!$A$4:$H$577,3,FALSE)</f>
        <v>MARCHE</v>
      </c>
      <c r="E367" t="str">
        <f>VLOOKUP($B367,'[1]DB PV ENI'!$A$4:$H$577,4,FALSE)</f>
        <v>ASCOLI PICENO</v>
      </c>
      <c r="F367" t="str">
        <f>VLOOKUP($B367,'[1]DB PV ENI'!$A$4:$H$577,5,FALSE)</f>
        <v>ASCOLI PICENO</v>
      </c>
      <c r="G367" t="str">
        <f>VLOOKUP($B367,'[1]DB PV ENI'!$A$4:$H$577,6,FALSE)</f>
        <v>SUPERSTRADA ASCOLI MARE KM.3</v>
      </c>
      <c r="H367">
        <v>1</v>
      </c>
      <c r="I367" s="1">
        <v>0</v>
      </c>
      <c r="J367" s="1">
        <v>1</v>
      </c>
      <c r="K367" s="1">
        <v>0</v>
      </c>
      <c r="L367" s="4">
        <v>0</v>
      </c>
    </row>
    <row r="368" spans="1:12" x14ac:dyDescent="0.15">
      <c r="A368" s="3" t="s">
        <v>12</v>
      </c>
      <c r="B368">
        <v>22968</v>
      </c>
      <c r="C368" t="str">
        <f>VLOOKUP($B368,'[1]DB PV ENI'!$A$4:$H$577,2,FALSE)</f>
        <v>NORD EST</v>
      </c>
      <c r="D368" t="str">
        <f>VLOOKUP($B368,'[1]DB PV ENI'!$A$4:$H$577,3,FALSE)</f>
        <v>EMILIA-ROMAGNA</v>
      </c>
      <c r="E368" t="str">
        <f>VLOOKUP($B368,'[1]DB PV ENI'!$A$4:$H$577,4,FALSE)</f>
        <v>PARMA</v>
      </c>
      <c r="F368" t="str">
        <f>VLOOKUP($B368,'[1]DB PV ENI'!$A$4:$H$577,5,FALSE)</f>
        <v>PARMA</v>
      </c>
      <c r="G368" t="str">
        <f>VLOOKUP($B368,'[1]DB PV ENI'!$A$4:$H$577,6,FALSE)</f>
        <v>VIA MANTOVA 109 A</v>
      </c>
      <c r="H368">
        <v>8</v>
      </c>
      <c r="I368" s="1">
        <v>2</v>
      </c>
      <c r="J368" s="1">
        <v>6</v>
      </c>
      <c r="K368" s="1">
        <v>0</v>
      </c>
      <c r="L368" s="4">
        <v>0</v>
      </c>
    </row>
    <row r="369" spans="1:12" x14ac:dyDescent="0.15">
      <c r="A369" s="3" t="s">
        <v>12</v>
      </c>
      <c r="B369">
        <v>22973</v>
      </c>
      <c r="C369" t="str">
        <f>VLOOKUP($B369,'[1]DB PV ENI'!$A$4:$H$577,2,FALSE)</f>
        <v>NORD EST</v>
      </c>
      <c r="D369" t="str">
        <f>VLOOKUP($B369,'[1]DB PV ENI'!$A$4:$H$577,3,FALSE)</f>
        <v>EMILIA-ROMAGNA</v>
      </c>
      <c r="E369" t="str">
        <f>VLOOKUP($B369,'[1]DB PV ENI'!$A$4:$H$577,4,FALSE)</f>
        <v>PARMA</v>
      </c>
      <c r="F369" t="str">
        <f>VLOOKUP($B369,'[1]DB PV ENI'!$A$4:$H$577,5,FALSE)</f>
        <v>FIDENZA</v>
      </c>
      <c r="G369" t="str">
        <f>VLOOKUP($B369,'[1]DB PV ENI'!$A$4:$H$577,6,FALSE)</f>
        <v>SP SORAGNA</v>
      </c>
      <c r="H369">
        <v>4</v>
      </c>
      <c r="I369" s="1">
        <v>2</v>
      </c>
      <c r="J369" s="1">
        <v>2</v>
      </c>
      <c r="K369" s="1">
        <v>0</v>
      </c>
      <c r="L369" s="4">
        <v>0</v>
      </c>
    </row>
    <row r="370" spans="1:12" x14ac:dyDescent="0.15">
      <c r="A370" s="3" t="s">
        <v>12</v>
      </c>
      <c r="B370">
        <v>25534</v>
      </c>
      <c r="C370" t="str">
        <f>VLOOKUP($B370,'[1]DB PV ENI'!$A$4:$H$577,2,FALSE)</f>
        <v>NORD EST</v>
      </c>
      <c r="D370" t="str">
        <f>VLOOKUP($B370,'[1]DB PV ENI'!$A$4:$H$577,3,FALSE)</f>
        <v>EMILIA-ROMAGNA</v>
      </c>
      <c r="E370" t="str">
        <f>VLOOKUP($B370,'[1]DB PV ENI'!$A$4:$H$577,4,FALSE)</f>
        <v>BOLOGNA</v>
      </c>
      <c r="F370" t="str">
        <f>VLOOKUP($B370,'[1]DB PV ENI'!$A$4:$H$577,5,FALSE)</f>
        <v>BOLOGNA</v>
      </c>
      <c r="G370" t="str">
        <f>VLOOKUP($B370,'[1]DB PV ENI'!$A$4:$H$577,6,FALSE)</f>
        <v>VIA STALINGRADO 59/4</v>
      </c>
      <c r="H370">
        <v>1</v>
      </c>
      <c r="I370" s="1">
        <v>0</v>
      </c>
      <c r="J370" s="1">
        <v>1</v>
      </c>
      <c r="K370" s="1">
        <v>0</v>
      </c>
      <c r="L370" s="4">
        <v>0</v>
      </c>
    </row>
    <row r="371" spans="1:12" x14ac:dyDescent="0.15">
      <c r="A371" s="3" t="s">
        <v>12</v>
      </c>
      <c r="B371">
        <v>25565</v>
      </c>
      <c r="C371" t="str">
        <f>VLOOKUP($B371,'[1]DB PV ENI'!$A$4:$H$577,2,FALSE)</f>
        <v>NORD EST</v>
      </c>
      <c r="D371" t="str">
        <f>VLOOKUP($B371,'[1]DB PV ENI'!$A$4:$H$577,3,FALSE)</f>
        <v>EMILIA-ROMAGNA</v>
      </c>
      <c r="E371" t="str">
        <f>VLOOKUP($B371,'[1]DB PV ENI'!$A$4:$H$577,4,FALSE)</f>
        <v>BOLOGNA</v>
      </c>
      <c r="F371" t="str">
        <f>VLOOKUP($B371,'[1]DB PV ENI'!$A$4:$H$577,5,FALSE)</f>
        <v>SAN LAZZARO DI SAVENA</v>
      </c>
      <c r="G371" t="str">
        <f>VLOOKUP($B371,'[1]DB PV ENI'!$A$4:$H$577,6,FALSE)</f>
        <v>COMPLANARE S. LAZZARO SNC</v>
      </c>
      <c r="H371">
        <v>3</v>
      </c>
      <c r="I371" s="1">
        <v>1</v>
      </c>
      <c r="J371" s="1">
        <v>2</v>
      </c>
      <c r="K371" s="1">
        <v>0</v>
      </c>
      <c r="L371" s="4">
        <v>0</v>
      </c>
    </row>
    <row r="372" spans="1:12" x14ac:dyDescent="0.15">
      <c r="A372" s="3" t="s">
        <v>12</v>
      </c>
      <c r="B372">
        <v>51141</v>
      </c>
      <c r="C372" t="str">
        <f>VLOOKUP($B372,'[1]DB PV ENI'!$A$4:$H$577,2,FALSE)</f>
        <v>NORD EST</v>
      </c>
      <c r="D372" t="str">
        <f>VLOOKUP($B372,'[1]DB PV ENI'!$A$4:$H$577,3,FALSE)</f>
        <v>VENETO</v>
      </c>
      <c r="E372" t="str">
        <f>VLOOKUP($B372,'[1]DB PV ENI'!$A$4:$H$577,4,FALSE)</f>
        <v>VENEZIA</v>
      </c>
      <c r="F372" t="str">
        <f>VLOOKUP($B372,'[1]DB PV ENI'!$A$4:$H$577,5,FALSE)</f>
        <v>SPINEA</v>
      </c>
      <c r="G372" t="str">
        <f>VLOOKUP($B372,'[1]DB PV ENI'!$A$4:$H$577,6,FALSE)</f>
        <v>COSTITUZIONE CREA</v>
      </c>
      <c r="H372">
        <v>5</v>
      </c>
      <c r="I372" s="1">
        <v>4</v>
      </c>
      <c r="J372" s="1">
        <v>1</v>
      </c>
      <c r="K372" s="1">
        <v>0</v>
      </c>
      <c r="L372" s="4">
        <v>0</v>
      </c>
    </row>
    <row r="373" spans="1:12" x14ac:dyDescent="0.15">
      <c r="A373" s="3" t="s">
        <v>12</v>
      </c>
      <c r="B373">
        <v>53490</v>
      </c>
      <c r="C373" t="str">
        <f>VLOOKUP($B373,'[1]DB PV ENI'!$A$4:$H$577,2,FALSE)</f>
        <v>NORD EST</v>
      </c>
      <c r="D373" t="str">
        <f>VLOOKUP($B373,'[1]DB PV ENI'!$A$4:$H$577,3,FALSE)</f>
        <v>EMILIA-ROMAGNA</v>
      </c>
      <c r="E373" t="str">
        <f>VLOOKUP($B373,'[1]DB PV ENI'!$A$4:$H$577,4,FALSE)</f>
        <v>REGGIO EMILIA</v>
      </c>
      <c r="F373" t="str">
        <f>VLOOKUP($B373,'[1]DB PV ENI'!$A$4:$H$577,5,FALSE)</f>
        <v>SANT'ILARIO D'ENZA</v>
      </c>
      <c r="G373" t="str">
        <f>VLOOKUP($B373,'[1]DB PV ENI'!$A$4:$H$577,6,FALSE)</f>
        <v>VIA FERRARI 38</v>
      </c>
      <c r="H373">
        <v>3</v>
      </c>
      <c r="I373" s="1">
        <v>0</v>
      </c>
      <c r="J373" s="1">
        <v>3</v>
      </c>
      <c r="K373" s="1">
        <v>0</v>
      </c>
      <c r="L373" s="4">
        <v>0</v>
      </c>
    </row>
    <row r="374" spans="1:12" x14ac:dyDescent="0.15">
      <c r="A374" s="3" t="s">
        <v>12</v>
      </c>
      <c r="B374">
        <v>53808</v>
      </c>
      <c r="C374" t="str">
        <f>VLOOKUP($B374,'[1]DB PV ENI'!$A$4:$H$577,2,FALSE)</f>
        <v>NORD EST</v>
      </c>
      <c r="D374" t="str">
        <f>VLOOKUP($B374,'[1]DB PV ENI'!$A$4:$H$577,3,FALSE)</f>
        <v>MARCHE</v>
      </c>
      <c r="E374" t="str">
        <f>VLOOKUP($B374,'[1]DB PV ENI'!$A$4:$H$577,4,FALSE)</f>
        <v>PESARO E URBINO</v>
      </c>
      <c r="F374" t="str">
        <f>VLOOKUP($B374,'[1]DB PV ENI'!$A$4:$H$577,5,FALSE)</f>
        <v>FANO</v>
      </c>
      <c r="G374" t="str">
        <f>VLOOKUP($B374,'[1]DB PV ENI'!$A$4:$H$577,6,FALSE)</f>
        <v>VIA E. MATTEI, 28</v>
      </c>
      <c r="H374">
        <v>17</v>
      </c>
      <c r="I374" s="1">
        <v>3</v>
      </c>
      <c r="J374" s="1">
        <v>14</v>
      </c>
      <c r="K374" s="1">
        <v>0</v>
      </c>
      <c r="L374" s="4">
        <v>0</v>
      </c>
    </row>
    <row r="375" spans="1:12" x14ac:dyDescent="0.15">
      <c r="A375" s="3" t="s">
        <v>12</v>
      </c>
      <c r="B375">
        <v>53970</v>
      </c>
      <c r="C375" t="str">
        <f>VLOOKUP($B375,'[1]DB PV ENI'!$A$4:$H$577,2,FALSE)</f>
        <v>NORD EST</v>
      </c>
      <c r="D375" t="str">
        <f>VLOOKUP($B375,'[1]DB PV ENI'!$A$4:$H$577,3,FALSE)</f>
        <v>EMILIA-ROMAGNA</v>
      </c>
      <c r="E375" t="str">
        <f>VLOOKUP($B375,'[1]DB PV ENI'!$A$4:$H$577,4,FALSE)</f>
        <v>FORLI CESENA</v>
      </c>
      <c r="F375" t="str">
        <f>VLOOKUP($B375,'[1]DB PV ENI'!$A$4:$H$577,5,FALSE)</f>
        <v>CESENA</v>
      </c>
      <c r="G375" t="str">
        <f>VLOOKUP($B375,'[1]DB PV ENI'!$A$4:$H$577,6,FALSE)</f>
        <v>VIA CALCINARO 2460</v>
      </c>
      <c r="H375">
        <v>13</v>
      </c>
      <c r="I375" s="1">
        <v>4</v>
      </c>
      <c r="J375" s="1">
        <v>9</v>
      </c>
      <c r="K375" s="1">
        <v>0</v>
      </c>
      <c r="L375" s="4">
        <v>0</v>
      </c>
    </row>
    <row r="376" spans="1:12" x14ac:dyDescent="0.15">
      <c r="A376" s="3" t="s">
        <v>12</v>
      </c>
      <c r="B376">
        <v>54479</v>
      </c>
      <c r="C376" t="str">
        <f>VLOOKUP($B376,'[1]DB PV ENI'!$A$4:$H$577,2,FALSE)</f>
        <v>NORD EST</v>
      </c>
      <c r="D376" t="str">
        <f>VLOOKUP($B376,'[1]DB PV ENI'!$A$4:$H$577,3,FALSE)</f>
        <v>EMILIA-ROMAGNA</v>
      </c>
      <c r="E376" t="str">
        <f>VLOOKUP($B376,'[1]DB PV ENI'!$A$4:$H$577,4,FALSE)</f>
        <v>BOLOGNA</v>
      </c>
      <c r="F376" t="str">
        <f>VLOOKUP($B376,'[1]DB PV ENI'!$A$4:$H$577,5,FALSE)</f>
        <v>BENTIVOGLIO</v>
      </c>
      <c r="G376" t="str">
        <f>VLOOKUP($B376,'[1]DB PV ENI'!$A$4:$H$577,6,FALSE)</f>
        <v>TRASVERSALE DI PIANURA</v>
      </c>
      <c r="H376">
        <v>3</v>
      </c>
      <c r="I376" s="1">
        <v>2</v>
      </c>
      <c r="J376" s="1">
        <v>1</v>
      </c>
      <c r="K376" s="1">
        <v>0</v>
      </c>
      <c r="L376" s="4">
        <v>0</v>
      </c>
    </row>
    <row r="377" spans="1:12" x14ac:dyDescent="0.15">
      <c r="A377" s="3" t="s">
        <v>12</v>
      </c>
      <c r="B377">
        <v>54593</v>
      </c>
      <c r="C377" t="str">
        <f>VLOOKUP($B377,'[1]DB PV ENI'!$A$4:$H$577,2,FALSE)</f>
        <v>NORD EST</v>
      </c>
      <c r="D377" t="str">
        <f>VLOOKUP($B377,'[1]DB PV ENI'!$A$4:$H$577,3,FALSE)</f>
        <v>EMILIA-ROMAGNA</v>
      </c>
      <c r="E377" t="str">
        <f>VLOOKUP($B377,'[1]DB PV ENI'!$A$4:$H$577,4,FALSE)</f>
        <v>MODENA</v>
      </c>
      <c r="F377" t="str">
        <f>VLOOKUP($B377,'[1]DB PV ENI'!$A$4:$H$577,5,FALSE)</f>
        <v>MODENA</v>
      </c>
      <c r="G377" t="str">
        <f>VLOOKUP($B377,'[1]DB PV ENI'!$A$4:$H$577,6,FALSE)</f>
        <v>SS MO/SASSUOLO LOC. BAGGIOVARA SNC</v>
      </c>
      <c r="H377">
        <v>2</v>
      </c>
      <c r="I377" s="1">
        <v>0</v>
      </c>
      <c r="J377" s="1">
        <v>2</v>
      </c>
      <c r="K377" s="1">
        <v>0</v>
      </c>
      <c r="L377" s="4">
        <v>0</v>
      </c>
    </row>
    <row r="378" spans="1:12" x14ac:dyDescent="0.15">
      <c r="A378" s="3" t="s">
        <v>12</v>
      </c>
      <c r="B378">
        <v>55420</v>
      </c>
      <c r="C378" t="str">
        <f>VLOOKUP($B378,'[1]DB PV ENI'!$A$4:$H$577,2,FALSE)</f>
        <v>NORD EST</v>
      </c>
      <c r="D378" t="str">
        <f>VLOOKUP($B378,'[1]DB PV ENI'!$A$4:$H$577,3,FALSE)</f>
        <v>EMILIA-ROMAGNA</v>
      </c>
      <c r="E378" t="str">
        <f>VLOOKUP($B378,'[1]DB PV ENI'!$A$4:$H$577,4,FALSE)</f>
        <v>BOLOGNA</v>
      </c>
      <c r="F378" t="str">
        <f>VLOOKUP($B378,'[1]DB PV ENI'!$A$4:$H$577,5,FALSE)</f>
        <v>BOLOGNA</v>
      </c>
      <c r="G378" t="str">
        <f>VLOOKUP($B378,'[1]DB PV ENI'!$A$4:$H$577,6,FALSE)</f>
        <v>VIA SHAKESPEARE SNC</v>
      </c>
      <c r="H378">
        <v>3</v>
      </c>
      <c r="I378" s="1">
        <v>0</v>
      </c>
      <c r="J378" s="1">
        <v>3</v>
      </c>
      <c r="K378" s="1">
        <v>0</v>
      </c>
      <c r="L378" s="4">
        <v>0</v>
      </c>
    </row>
    <row r="379" spans="1:12" x14ac:dyDescent="0.15">
      <c r="A379" s="3" t="s">
        <v>12</v>
      </c>
      <c r="B379">
        <v>55422</v>
      </c>
      <c r="C379" t="str">
        <f>VLOOKUP($B379,'[1]DB PV ENI'!$A$4:$H$577,2,FALSE)</f>
        <v>NORD EST</v>
      </c>
      <c r="D379" t="str">
        <f>VLOOKUP($B379,'[1]DB PV ENI'!$A$4:$H$577,3,FALSE)</f>
        <v>EMILIA-ROMAGNA</v>
      </c>
      <c r="E379" t="str">
        <f>VLOOKUP($B379,'[1]DB PV ENI'!$A$4:$H$577,4,FALSE)</f>
        <v>BOLOGNA</v>
      </c>
      <c r="F379" t="str">
        <f>VLOOKUP($B379,'[1]DB PV ENI'!$A$4:$H$577,5,FALSE)</f>
        <v>BOLOGNA</v>
      </c>
      <c r="G379" t="str">
        <f>VLOOKUP($B379,'[1]DB PV ENI'!$A$4:$H$577,6,FALSE)</f>
        <v>VIA CRISTOFORO COLOMBO 36</v>
      </c>
      <c r="H379">
        <v>1</v>
      </c>
      <c r="I379" s="1">
        <v>0</v>
      </c>
      <c r="J379" s="1">
        <v>1</v>
      </c>
      <c r="K379" s="1">
        <v>0</v>
      </c>
      <c r="L379" s="4">
        <v>0</v>
      </c>
    </row>
    <row r="380" spans="1:12" x14ac:dyDescent="0.15">
      <c r="A380" s="3" t="s">
        <v>12</v>
      </c>
      <c r="B380">
        <v>56033</v>
      </c>
      <c r="C380" t="str">
        <f>VLOOKUP($B380,'[1]DB PV ENI'!$A$4:$H$577,2,FALSE)</f>
        <v>NORD EST</v>
      </c>
      <c r="D380" t="str">
        <f>VLOOKUP($B380,'[1]DB PV ENI'!$A$4:$H$577,3,FALSE)</f>
        <v>VENETO</v>
      </c>
      <c r="E380" t="str">
        <f>VLOOKUP($B380,'[1]DB PV ENI'!$A$4:$H$577,4,FALSE)</f>
        <v>TREVISO</v>
      </c>
      <c r="F380" t="str">
        <f>VLOOKUP($B380,'[1]DB PV ENI'!$A$4:$H$577,5,FALSE)</f>
        <v>CASTELFRANCO VENETO</v>
      </c>
      <c r="G380" t="str">
        <f>VLOOKUP($B380,'[1]DB PV ENI'!$A$4:$H$577,6,FALSE)</f>
        <v>VIA CIRCONVALLAZIONE EST 85</v>
      </c>
      <c r="H380">
        <v>14</v>
      </c>
      <c r="I380" s="1">
        <v>2</v>
      </c>
      <c r="J380" s="1">
        <v>12</v>
      </c>
      <c r="K380" s="1">
        <v>0</v>
      </c>
      <c r="L380" s="4">
        <v>0</v>
      </c>
    </row>
    <row r="381" spans="1:12" x14ac:dyDescent="0.15">
      <c r="A381" s="3" t="s">
        <v>12</v>
      </c>
      <c r="B381">
        <v>56062</v>
      </c>
      <c r="C381" t="str">
        <f>VLOOKUP($B381,'[1]DB PV ENI'!$A$4:$H$577,2,FALSE)</f>
        <v>NORD EST</v>
      </c>
      <c r="D381" t="str">
        <f>VLOOKUP($B381,'[1]DB PV ENI'!$A$4:$H$577,3,FALSE)</f>
        <v>FRIULI VENEZIA GIULIA</v>
      </c>
      <c r="E381" t="str">
        <f>VLOOKUP($B381,'[1]DB PV ENI'!$A$4:$H$577,4,FALSE)</f>
        <v>UDINE</v>
      </c>
      <c r="F381" t="str">
        <f>VLOOKUP($B381,'[1]DB PV ENI'!$A$4:$H$577,5,FALSE)</f>
        <v>UDINE</v>
      </c>
      <c r="G381" t="str">
        <f>VLOOKUP($B381,'[1]DB PV ENI'!$A$4:$H$577,6,FALSE)</f>
        <v>VIALE TRICESIMO 93</v>
      </c>
      <c r="H381">
        <v>28</v>
      </c>
      <c r="I381" s="1">
        <v>10</v>
      </c>
      <c r="J381" s="1">
        <v>18</v>
      </c>
      <c r="K381" s="1">
        <v>0</v>
      </c>
      <c r="L381" s="4">
        <v>0</v>
      </c>
    </row>
    <row r="382" spans="1:12" x14ac:dyDescent="0.15">
      <c r="A382" s="3" t="s">
        <v>12</v>
      </c>
      <c r="B382">
        <v>56633</v>
      </c>
      <c r="C382" t="str">
        <f>VLOOKUP($B382,'[1]DB PV ENI'!$A$4:$H$577,2,FALSE)</f>
        <v>NORD EST</v>
      </c>
      <c r="D382" t="str">
        <f>VLOOKUP($B382,'[1]DB PV ENI'!$A$4:$H$577,3,FALSE)</f>
        <v>EMILIA-ROMAGNA</v>
      </c>
      <c r="E382" t="str">
        <f>VLOOKUP($B382,'[1]DB PV ENI'!$A$4:$H$577,4,FALSE)</f>
        <v>PIACENZA</v>
      </c>
      <c r="F382" t="str">
        <f>VLOOKUP($B382,'[1]DB PV ENI'!$A$4:$H$577,5,FALSE)</f>
        <v>CASTEL SAN GIOVANNI</v>
      </c>
      <c r="G382" t="str">
        <f>VLOOKUP($B382,'[1]DB PV ENI'!$A$4:$H$577,6,FALSE)</f>
        <v>VIA EMILIA PIACENTINA</v>
      </c>
      <c r="H382">
        <v>16</v>
      </c>
      <c r="I382" s="1">
        <v>7</v>
      </c>
      <c r="J382" s="1">
        <v>9</v>
      </c>
      <c r="K382" s="1">
        <v>0</v>
      </c>
      <c r="L382" s="4">
        <v>0</v>
      </c>
    </row>
    <row r="383" spans="1:12" x14ac:dyDescent="0.15">
      <c r="A383" s="3" t="s">
        <v>12</v>
      </c>
      <c r="B383">
        <v>56778</v>
      </c>
      <c r="C383" t="str">
        <f>VLOOKUP($B383,'[1]DB PV ENI'!$A$4:$H$577,2,FALSE)</f>
        <v>NORD EST</v>
      </c>
      <c r="D383" t="str">
        <f>VLOOKUP($B383,'[1]DB PV ENI'!$A$4:$H$577,3,FALSE)</f>
        <v>EMILIA-ROMAGNA</v>
      </c>
      <c r="E383" t="str">
        <f>VLOOKUP($B383,'[1]DB PV ENI'!$A$4:$H$577,4,FALSE)</f>
        <v>REGGIO EMILIA</v>
      </c>
      <c r="F383" t="str">
        <f>VLOOKUP($B383,'[1]DB PV ENI'!$A$4:$H$577,5,FALSE)</f>
        <v>MONTECCHIO EMILIA</v>
      </c>
      <c r="G383" t="str">
        <f>VLOOKUP($B383,'[1]DB PV ENI'!$A$4:$H$577,6,FALSE)</f>
        <v>S.P PER REGGIO EMILIA 34</v>
      </c>
      <c r="H383">
        <v>12</v>
      </c>
      <c r="I383" s="1">
        <v>5</v>
      </c>
      <c r="J383" s="1">
        <v>7</v>
      </c>
      <c r="K383" s="1">
        <v>0</v>
      </c>
      <c r="L383" s="4">
        <v>0</v>
      </c>
    </row>
    <row r="384" spans="1:12" x14ac:dyDescent="0.15">
      <c r="A384" s="3" t="s">
        <v>12</v>
      </c>
      <c r="B384">
        <v>57601</v>
      </c>
      <c r="C384" t="str">
        <f>VLOOKUP($B384,'[1]DB PV ENI'!$A$4:$H$577,2,FALSE)</f>
        <v>NORD EST</v>
      </c>
      <c r="D384" t="str">
        <f>VLOOKUP($B384,'[1]DB PV ENI'!$A$4:$H$577,3,FALSE)</f>
        <v>EMILIA-ROMAGNA</v>
      </c>
      <c r="E384" t="str">
        <f>VLOOKUP($B384,'[1]DB PV ENI'!$A$4:$H$577,4,FALSE)</f>
        <v>MODENA</v>
      </c>
      <c r="F384" t="str">
        <f>VLOOKUP($B384,'[1]DB PV ENI'!$A$4:$H$577,5,FALSE)</f>
        <v>MODENA</v>
      </c>
      <c r="G384" t="str">
        <f>VLOOKUP($B384,'[1]DB PV ENI'!$A$4:$H$577,6,FALSE)</f>
        <v>VIA VIGNOLESE 1030</v>
      </c>
      <c r="H384">
        <v>9</v>
      </c>
      <c r="I384" s="1">
        <v>2</v>
      </c>
      <c r="J384" s="1">
        <v>7</v>
      </c>
      <c r="K384" s="1">
        <v>0</v>
      </c>
      <c r="L384" s="4">
        <v>0</v>
      </c>
    </row>
    <row r="385" spans="1:12" x14ac:dyDescent="0.15">
      <c r="A385" s="3" t="s">
        <v>12</v>
      </c>
      <c r="B385">
        <v>57602</v>
      </c>
      <c r="C385" t="str">
        <f>VLOOKUP($B385,'[1]DB PV ENI'!$A$4:$H$577,2,FALSE)</f>
        <v>NORD EST</v>
      </c>
      <c r="D385" t="str">
        <f>VLOOKUP($B385,'[1]DB PV ENI'!$A$4:$H$577,3,FALSE)</f>
        <v>EMILIA-ROMAGNA</v>
      </c>
      <c r="E385" t="str">
        <f>VLOOKUP($B385,'[1]DB PV ENI'!$A$4:$H$577,4,FALSE)</f>
        <v>RAVENNA</v>
      </c>
      <c r="F385" t="str">
        <f>VLOOKUP($B385,'[1]DB PV ENI'!$A$4:$H$577,5,FALSE)</f>
        <v>FAENZA</v>
      </c>
      <c r="G385" t="str">
        <f>VLOOKUP($B385,'[1]DB PV ENI'!$A$4:$H$577,6,FALSE)</f>
        <v>GRANAROLO, 177</v>
      </c>
      <c r="H385">
        <v>33</v>
      </c>
      <c r="I385" s="1">
        <v>16</v>
      </c>
      <c r="J385" s="1">
        <v>17</v>
      </c>
      <c r="K385" s="1">
        <v>0</v>
      </c>
      <c r="L385" s="4">
        <v>0</v>
      </c>
    </row>
    <row r="386" spans="1:12" x14ac:dyDescent="0.15">
      <c r="A386" s="3" t="s">
        <v>12</v>
      </c>
      <c r="B386">
        <v>57911</v>
      </c>
      <c r="C386" t="str">
        <f>VLOOKUP($B386,'[1]DB PV ENI'!$A$4:$H$577,2,FALSE)</f>
        <v>NORD EST</v>
      </c>
      <c r="D386" t="str">
        <f>VLOOKUP($B386,'[1]DB PV ENI'!$A$4:$H$577,3,FALSE)</f>
        <v>VENETO</v>
      </c>
      <c r="E386" t="str">
        <f>VLOOKUP($B386,'[1]DB PV ENI'!$A$4:$H$577,4,FALSE)</f>
        <v>PADOVA</v>
      </c>
      <c r="F386" t="str">
        <f>VLOOKUP($B386,'[1]DB PV ENI'!$A$4:$H$577,5,FALSE)</f>
        <v>PIOVE DI SACCO</v>
      </c>
      <c r="G386" t="str">
        <f>VLOOKUP($B386,'[1]DB PV ENI'!$A$4:$H$577,6,FALSE)</f>
        <v>ALESSIO VALERIO 54</v>
      </c>
      <c r="H386">
        <v>13</v>
      </c>
      <c r="I386" s="1">
        <v>4</v>
      </c>
      <c r="J386" s="1">
        <v>9</v>
      </c>
      <c r="K386" s="1">
        <v>0</v>
      </c>
      <c r="L386" s="4">
        <v>0</v>
      </c>
    </row>
    <row r="387" spans="1:12" x14ac:dyDescent="0.15">
      <c r="A387" s="3" t="s">
        <v>12</v>
      </c>
      <c r="B387">
        <v>58000</v>
      </c>
      <c r="C387" t="str">
        <f>VLOOKUP($B387,'[1]DB PV ENI'!$A$4:$H$577,2,FALSE)</f>
        <v>NORD EST</v>
      </c>
      <c r="D387" t="str">
        <f>VLOOKUP($B387,'[1]DB PV ENI'!$A$4:$H$577,3,FALSE)</f>
        <v>EMILIA-ROMAGNA</v>
      </c>
      <c r="E387" t="str">
        <f>VLOOKUP($B387,'[1]DB PV ENI'!$A$4:$H$577,4,FALSE)</f>
        <v>MODENA</v>
      </c>
      <c r="F387" t="str">
        <f>VLOOKUP($B387,'[1]DB PV ENI'!$A$4:$H$577,5,FALSE)</f>
        <v>MIRANDOLA</v>
      </c>
      <c r="G387" t="str">
        <f>VLOOKUP($B387,'[1]DB PV ENI'!$A$4:$H$577,6,FALSE)</f>
        <v>SS. SUD</v>
      </c>
      <c r="H387">
        <v>3</v>
      </c>
      <c r="I387" s="1">
        <v>0</v>
      </c>
      <c r="J387" s="1">
        <v>3</v>
      </c>
      <c r="K387" s="1">
        <v>0</v>
      </c>
      <c r="L387" s="4">
        <v>0</v>
      </c>
    </row>
    <row r="388" spans="1:12" x14ac:dyDescent="0.15">
      <c r="A388" s="3" t="s">
        <v>12</v>
      </c>
      <c r="B388">
        <v>58414</v>
      </c>
      <c r="C388" t="str">
        <f>VLOOKUP($B388,'[1]DB PV ENI'!$A$4:$H$577,2,FALSE)</f>
        <v>NORD EST</v>
      </c>
      <c r="D388" t="str">
        <f>VLOOKUP($B388,'[1]DB PV ENI'!$A$4:$H$577,3,FALSE)</f>
        <v>EMILIA-ROMAGNA</v>
      </c>
      <c r="E388" t="str">
        <f>VLOOKUP($B388,'[1]DB PV ENI'!$A$4:$H$577,4,FALSE)</f>
        <v>REGGIO EMILIA</v>
      </c>
      <c r="F388" t="str">
        <f>VLOOKUP($B388,'[1]DB PV ENI'!$A$4:$H$577,5,FALSE)</f>
        <v>REGGIO NELL'EMILIA</v>
      </c>
      <c r="G388" t="str">
        <f>VLOOKUP($B388,'[1]DB PV ENI'!$A$4:$H$577,6,FALSE)</f>
        <v>VIA GRAMSCI, 9</v>
      </c>
      <c r="H388">
        <v>26</v>
      </c>
      <c r="I388" s="1">
        <v>8</v>
      </c>
      <c r="J388" s="1">
        <v>18</v>
      </c>
      <c r="K388" s="1">
        <v>0</v>
      </c>
      <c r="L388" s="4">
        <v>0</v>
      </c>
    </row>
    <row r="389" spans="1:12" x14ac:dyDescent="0.15">
      <c r="A389" s="3" t="s">
        <v>12</v>
      </c>
      <c r="B389">
        <v>59131</v>
      </c>
      <c r="C389" t="str">
        <f>VLOOKUP($B389,'[1]DB PV ENI'!$A$4:$H$577,2,FALSE)</f>
        <v>NORD EST</v>
      </c>
      <c r="D389" t="str">
        <f>VLOOKUP($B389,'[1]DB PV ENI'!$A$4:$H$577,3,FALSE)</f>
        <v>VENETO</v>
      </c>
      <c r="E389" t="str">
        <f>VLOOKUP($B389,'[1]DB PV ENI'!$A$4:$H$577,4,FALSE)</f>
        <v>BELLUNO</v>
      </c>
      <c r="F389" t="str">
        <f>VLOOKUP($B389,'[1]DB PV ENI'!$A$4:$H$577,5,FALSE)</f>
        <v>BELLUNO</v>
      </c>
      <c r="G389" t="str">
        <f>VLOOKUP($B389,'[1]DB PV ENI'!$A$4:$H$577,6,FALSE)</f>
        <v>VIA VITTORIO VENETO</v>
      </c>
      <c r="H389">
        <v>37</v>
      </c>
      <c r="I389" s="1">
        <v>11</v>
      </c>
      <c r="J389" s="1">
        <v>26</v>
      </c>
      <c r="K389" s="1">
        <v>0</v>
      </c>
      <c r="L389" s="4">
        <v>0</v>
      </c>
    </row>
    <row r="390" spans="1:12" x14ac:dyDescent="0.15">
      <c r="A390" s="3" t="s">
        <v>12</v>
      </c>
      <c r="B390">
        <v>59243</v>
      </c>
      <c r="C390" t="str">
        <f>VLOOKUP($B390,'[1]DB PV ENI'!$A$4:$H$577,2,FALSE)</f>
        <v>NORD EST</v>
      </c>
      <c r="D390" t="str">
        <f>VLOOKUP($B390,'[1]DB PV ENI'!$A$4:$H$577,3,FALSE)</f>
        <v>MARCHE</v>
      </c>
      <c r="E390" t="str">
        <f>VLOOKUP($B390,'[1]DB PV ENI'!$A$4:$H$577,4,FALSE)</f>
        <v>ANCONA</v>
      </c>
      <c r="F390" t="str">
        <f>VLOOKUP($B390,'[1]DB PV ENI'!$A$4:$H$577,5,FALSE)</f>
        <v>JESI</v>
      </c>
      <c r="G390" t="str">
        <f>VLOOKUP($B390,'[1]DB PV ENI'!$A$4:$H$577,6,FALSE)</f>
        <v>VIA ANCONA 68</v>
      </c>
      <c r="H390">
        <v>19</v>
      </c>
      <c r="I390" s="1">
        <v>5</v>
      </c>
      <c r="J390" s="1">
        <v>14</v>
      </c>
      <c r="K390" s="1">
        <v>0</v>
      </c>
      <c r="L390" s="4">
        <v>0</v>
      </c>
    </row>
    <row r="391" spans="1:12" x14ac:dyDescent="0.15">
      <c r="A391" s="3" t="s">
        <v>12</v>
      </c>
      <c r="B391">
        <v>15</v>
      </c>
      <c r="C391" t="str">
        <f>VLOOKUP($B391,'[1]DB PV ENI'!$A$4:$H$577,2,FALSE)</f>
        <v>NORD OVEST</v>
      </c>
      <c r="D391" t="str">
        <f>VLOOKUP($B391,'[1]DB PV ENI'!$A$4:$H$577,3,FALSE)</f>
        <v>VALLE D'AOSTA</v>
      </c>
      <c r="E391" t="str">
        <f>VLOOKUP($B391,'[1]DB PV ENI'!$A$4:$H$577,4,FALSE)</f>
        <v>AOSTA</v>
      </c>
      <c r="F391" t="str">
        <f>VLOOKUP($B391,'[1]DB PV ENI'!$A$4:$H$577,5,FALSE)</f>
        <v>COURMAYEUR</v>
      </c>
      <c r="G391" t="str">
        <f>VLOOKUP($B391,'[1]DB PV ENI'!$A$4:$H$577,6,FALSE)</f>
        <v>STRADA TRAFORO DEL MONTE BIANCO SNC</v>
      </c>
      <c r="H391">
        <v>4</v>
      </c>
      <c r="I391" s="1">
        <v>0</v>
      </c>
      <c r="J391" s="1">
        <v>4</v>
      </c>
      <c r="K391" s="1">
        <v>0</v>
      </c>
      <c r="L391" s="4">
        <v>0</v>
      </c>
    </row>
    <row r="392" spans="1:12" x14ac:dyDescent="0.15">
      <c r="A392" s="3" t="s">
        <v>12</v>
      </c>
      <c r="B392">
        <v>215</v>
      </c>
      <c r="C392" t="str">
        <f>VLOOKUP($B392,'[1]DB PV ENI'!$A$4:$H$577,2,FALSE)</f>
        <v>NORD OVEST</v>
      </c>
      <c r="D392" t="str">
        <f>VLOOKUP($B392,'[1]DB PV ENI'!$A$4:$H$577,3,FALSE)</f>
        <v>PIEMONTE</v>
      </c>
      <c r="E392" t="str">
        <f>VLOOKUP($B392,'[1]DB PV ENI'!$A$4:$H$577,4,FALSE)</f>
        <v>CUNEO</v>
      </c>
      <c r="F392" t="str">
        <f>VLOOKUP($B392,'[1]DB PV ENI'!$A$4:$H$577,5,FALSE)</f>
        <v>SAVIGLIANO</v>
      </c>
      <c r="G392" t="str">
        <f>VLOOKUP($B392,'[1]DB PV ENI'!$A$4:$H$577,6,FALSE)</f>
        <v>VIA LIGURIA 1</v>
      </c>
      <c r="H392">
        <v>16</v>
      </c>
      <c r="I392" s="1">
        <v>4</v>
      </c>
      <c r="J392" s="1">
        <v>12</v>
      </c>
      <c r="K392" s="1">
        <v>0</v>
      </c>
      <c r="L392" s="4">
        <v>0</v>
      </c>
    </row>
    <row r="393" spans="1:12" x14ac:dyDescent="0.15">
      <c r="A393" s="3" t="s">
        <v>12</v>
      </c>
      <c r="B393">
        <v>259</v>
      </c>
      <c r="C393" t="str">
        <f>VLOOKUP($B393,'[1]DB PV ENI'!$A$4:$H$577,2,FALSE)</f>
        <v>NORD OVEST</v>
      </c>
      <c r="D393" t="str">
        <f>VLOOKUP($B393,'[1]DB PV ENI'!$A$4:$H$577,3,FALSE)</f>
        <v>PIEMONTE</v>
      </c>
      <c r="E393" t="str">
        <f>VLOOKUP($B393,'[1]DB PV ENI'!$A$4:$H$577,4,FALSE)</f>
        <v>CUNEO</v>
      </c>
      <c r="F393" t="str">
        <f>VLOOKUP($B393,'[1]DB PV ENI'!$A$4:$H$577,5,FALSE)</f>
        <v>TETTO GARETTO</v>
      </c>
      <c r="G393" t="str">
        <f>VLOOKUP($B393,'[1]DB PV ENI'!$A$4:$H$577,6,FALSE)</f>
        <v>VIA SAVONA 82 - LOC. TETTO GARETTO</v>
      </c>
      <c r="H393">
        <v>2</v>
      </c>
      <c r="I393" s="1">
        <v>1</v>
      </c>
      <c r="J393" s="1">
        <v>1</v>
      </c>
      <c r="K393" s="1">
        <v>0</v>
      </c>
      <c r="L393" s="4">
        <v>0</v>
      </c>
    </row>
    <row r="394" spans="1:12" x14ac:dyDescent="0.15">
      <c r="A394" s="3" t="s">
        <v>12</v>
      </c>
      <c r="B394">
        <v>284</v>
      </c>
      <c r="C394" t="str">
        <f>VLOOKUP($B394,'[1]DB PV ENI'!$A$4:$H$577,2,FALSE)</f>
        <v>NORD OVEST</v>
      </c>
      <c r="D394" t="str">
        <f>VLOOKUP($B394,'[1]DB PV ENI'!$A$4:$H$577,3,FALSE)</f>
        <v>PIEMONTE</v>
      </c>
      <c r="E394" t="str">
        <f>VLOOKUP($B394,'[1]DB PV ENI'!$A$4:$H$577,4,FALSE)</f>
        <v>CUNEO</v>
      </c>
      <c r="F394" t="str">
        <f>VLOOKUP($B394,'[1]DB PV ENI'!$A$4:$H$577,5,FALSE)</f>
        <v>BRA</v>
      </c>
      <c r="G394" t="str">
        <f>VLOOKUP($B394,'[1]DB PV ENI'!$A$4:$H$577,6,FALSE)</f>
        <v>VIA CUNEO ANG. VIA ROSSELLI 136</v>
      </c>
      <c r="H394">
        <v>4</v>
      </c>
      <c r="I394" s="1">
        <v>0</v>
      </c>
      <c r="J394" s="1">
        <v>4</v>
      </c>
      <c r="K394" s="1">
        <v>0</v>
      </c>
      <c r="L394" s="4">
        <v>0</v>
      </c>
    </row>
    <row r="395" spans="1:12" x14ac:dyDescent="0.15">
      <c r="A395" s="3" t="s">
        <v>12</v>
      </c>
      <c r="B395">
        <v>452</v>
      </c>
      <c r="C395" t="str">
        <f>VLOOKUP($B395,'[1]DB PV ENI'!$A$4:$H$577,2,FALSE)</f>
        <v>NORD OVEST</v>
      </c>
      <c r="D395" t="str">
        <f>VLOOKUP($B395,'[1]DB PV ENI'!$A$4:$H$577,3,FALSE)</f>
        <v>PIEMONTE</v>
      </c>
      <c r="E395" t="str">
        <f>VLOOKUP($B395,'[1]DB PV ENI'!$A$4:$H$577,4,FALSE)</f>
        <v>VERBANO CUSIO OSSOLA</v>
      </c>
      <c r="F395" t="str">
        <f>VLOOKUP($B395,'[1]DB PV ENI'!$A$4:$H$577,5,FALSE)</f>
        <v>STRESA</v>
      </c>
      <c r="G395" t="str">
        <f>VLOOKUP($B395,'[1]DB PV ENI'!$A$4:$H$577,6,FALSE)</f>
        <v>SS 33</v>
      </c>
      <c r="H395">
        <v>7</v>
      </c>
      <c r="I395" s="1">
        <v>2</v>
      </c>
      <c r="J395" s="1">
        <v>5</v>
      </c>
      <c r="K395" s="1">
        <v>0</v>
      </c>
      <c r="L395" s="4">
        <v>0</v>
      </c>
    </row>
    <row r="396" spans="1:12" x14ac:dyDescent="0.15">
      <c r="A396" s="3" t="s">
        <v>12</v>
      </c>
      <c r="B396">
        <v>544</v>
      </c>
      <c r="C396" t="str">
        <f>VLOOKUP($B396,'[1]DB PV ENI'!$A$4:$H$577,2,FALSE)</f>
        <v>NORD OVEST</v>
      </c>
      <c r="D396" t="str">
        <f>VLOOKUP($B396,'[1]DB PV ENI'!$A$4:$H$577,3,FALSE)</f>
        <v>PIEMONTE</v>
      </c>
      <c r="E396" t="str">
        <f>VLOOKUP($B396,'[1]DB PV ENI'!$A$4:$H$577,4,FALSE)</f>
        <v>TORINO</v>
      </c>
      <c r="F396" t="str">
        <f>VLOOKUP($B396,'[1]DB PV ENI'!$A$4:$H$577,5,FALSE)</f>
        <v>CALUSO</v>
      </c>
      <c r="G396" t="str">
        <f>VLOOKUP($B396,'[1]DB PV ENI'!$A$4:$H$577,6,FALSE)</f>
        <v>STRADA PROV.53 KM 12</v>
      </c>
      <c r="H396">
        <v>2</v>
      </c>
      <c r="I396" s="1">
        <v>0</v>
      </c>
      <c r="J396" s="1">
        <v>2</v>
      </c>
      <c r="K396" s="1">
        <v>0</v>
      </c>
      <c r="L396" s="4">
        <v>0</v>
      </c>
    </row>
    <row r="397" spans="1:12" x14ac:dyDescent="0.15">
      <c r="A397" s="3" t="s">
        <v>12</v>
      </c>
      <c r="B397">
        <v>779</v>
      </c>
      <c r="C397" t="str">
        <f>VLOOKUP($B397,'[1]DB PV ENI'!$A$4:$H$577,2,FALSE)</f>
        <v>NORD OVEST</v>
      </c>
      <c r="D397" t="str">
        <f>VLOOKUP($B397,'[1]DB PV ENI'!$A$4:$H$577,3,FALSE)</f>
        <v>PIEMONTE</v>
      </c>
      <c r="E397" t="str">
        <f>VLOOKUP($B397,'[1]DB PV ENI'!$A$4:$H$577,4,FALSE)</f>
        <v>TORINO</v>
      </c>
      <c r="F397" t="str">
        <f>VLOOKUP($B397,'[1]DB PV ENI'!$A$4:$H$577,5,FALSE)</f>
        <v>OZEGNA</v>
      </c>
      <c r="G397" t="str">
        <f>VLOOKUP($B397,'[1]DB PV ENI'!$A$4:$H$577,6,FALSE)</f>
        <v>SP.CHIVASSO-OZEGNA KM22</v>
      </c>
      <c r="H397">
        <v>5</v>
      </c>
      <c r="I397" s="1">
        <v>2</v>
      </c>
      <c r="J397" s="1">
        <v>3</v>
      </c>
      <c r="K397" s="1">
        <v>0</v>
      </c>
      <c r="L397" s="4">
        <v>0</v>
      </c>
    </row>
    <row r="398" spans="1:12" x14ac:dyDescent="0.15">
      <c r="A398" s="3" t="s">
        <v>12</v>
      </c>
      <c r="B398">
        <v>836</v>
      </c>
      <c r="C398" t="str">
        <f>VLOOKUP($B398,'[1]DB PV ENI'!$A$4:$H$577,2,FALSE)</f>
        <v>NORD OVEST</v>
      </c>
      <c r="D398" t="str">
        <f>VLOOKUP($B398,'[1]DB PV ENI'!$A$4:$H$577,3,FALSE)</f>
        <v>PIEMONTE</v>
      </c>
      <c r="E398" t="str">
        <f>VLOOKUP($B398,'[1]DB PV ENI'!$A$4:$H$577,4,FALSE)</f>
        <v>TORINO</v>
      </c>
      <c r="F398" t="str">
        <f>VLOOKUP($B398,'[1]DB PV ENI'!$A$4:$H$577,5,FALSE)</f>
        <v>CHIERI</v>
      </c>
      <c r="G398" t="str">
        <f>VLOOKUP($B398,'[1]DB PV ENI'!$A$4:$H$577,6,FALSE)</f>
        <v>S.S. 10 AL KM 14+400 - CORSO TORINO 45</v>
      </c>
      <c r="H398">
        <v>6</v>
      </c>
      <c r="I398" s="1">
        <v>1</v>
      </c>
      <c r="J398" s="1">
        <v>5</v>
      </c>
      <c r="K398" s="1">
        <v>0</v>
      </c>
      <c r="L398" s="4">
        <v>0</v>
      </c>
    </row>
    <row r="399" spans="1:12" x14ac:dyDescent="0.15">
      <c r="A399" s="3" t="s">
        <v>12</v>
      </c>
      <c r="B399">
        <v>974</v>
      </c>
      <c r="C399" t="str">
        <f>VLOOKUP($B399,'[1]DB PV ENI'!$A$4:$H$577,2,FALSE)</f>
        <v>NORD OVEST</v>
      </c>
      <c r="D399" t="str">
        <f>VLOOKUP($B399,'[1]DB PV ENI'!$A$4:$H$577,3,FALSE)</f>
        <v>PIEMONTE</v>
      </c>
      <c r="E399" t="str">
        <f>VLOOKUP($B399,'[1]DB PV ENI'!$A$4:$H$577,4,FALSE)</f>
        <v>TORINO</v>
      </c>
      <c r="F399" t="str">
        <f>VLOOKUP($B399,'[1]DB PV ENI'!$A$4:$H$577,5,FALSE)</f>
        <v>BEINASCO</v>
      </c>
      <c r="G399" t="str">
        <f>VLOOKUP($B399,'[1]DB PV ENI'!$A$4:$H$577,6,FALSE)</f>
        <v>TANG.TO SUD-RACC. DROSSO</v>
      </c>
      <c r="H399">
        <v>7</v>
      </c>
      <c r="I399" s="1">
        <v>1</v>
      </c>
      <c r="J399" s="1">
        <v>6</v>
      </c>
      <c r="K399" s="1">
        <v>0</v>
      </c>
      <c r="L399" s="4">
        <v>0</v>
      </c>
    </row>
    <row r="400" spans="1:12" x14ac:dyDescent="0.15">
      <c r="A400" s="3" t="s">
        <v>12</v>
      </c>
      <c r="B400">
        <v>1007</v>
      </c>
      <c r="C400" t="str">
        <f>VLOOKUP($B400,'[1]DB PV ENI'!$A$4:$H$577,2,FALSE)</f>
        <v>NORD OVEST</v>
      </c>
      <c r="D400" t="str">
        <f>VLOOKUP($B400,'[1]DB PV ENI'!$A$4:$H$577,3,FALSE)</f>
        <v>LIGURIA</v>
      </c>
      <c r="E400" t="str">
        <f>VLOOKUP($B400,'[1]DB PV ENI'!$A$4:$H$577,4,FALSE)</f>
        <v>GENOVA</v>
      </c>
      <c r="F400" t="str">
        <f>VLOOKUP($B400,'[1]DB PV ENI'!$A$4:$H$577,5,FALSE)</f>
        <v>CHIAVARI</v>
      </c>
      <c r="G400" t="str">
        <f>VLOOKUP($B400,'[1]DB PV ENI'!$A$4:$H$577,6,FALSE)</f>
        <v>CORSO GENOVA 40</v>
      </c>
      <c r="H400">
        <v>14</v>
      </c>
      <c r="I400" s="1">
        <v>2</v>
      </c>
      <c r="J400" s="1">
        <v>12</v>
      </c>
      <c r="K400" s="1">
        <v>0</v>
      </c>
      <c r="L400" s="4">
        <v>0</v>
      </c>
    </row>
    <row r="401" spans="1:12" x14ac:dyDescent="0.15">
      <c r="A401" s="3" t="s">
        <v>12</v>
      </c>
      <c r="B401">
        <v>1008</v>
      </c>
      <c r="C401" t="str">
        <f>VLOOKUP($B401,'[1]DB PV ENI'!$A$4:$H$577,2,FALSE)</f>
        <v>NORD OVEST</v>
      </c>
      <c r="D401" t="str">
        <f>VLOOKUP($B401,'[1]DB PV ENI'!$A$4:$H$577,3,FALSE)</f>
        <v>LIGURIA</v>
      </c>
      <c r="E401" t="str">
        <f>VLOOKUP($B401,'[1]DB PV ENI'!$A$4:$H$577,4,FALSE)</f>
        <v>GENOVA</v>
      </c>
      <c r="F401" t="str">
        <f>VLOOKUP($B401,'[1]DB PV ENI'!$A$4:$H$577,5,FALSE)</f>
        <v>GENOVA</v>
      </c>
      <c r="G401" t="str">
        <f>VLOOKUP($B401,'[1]DB PV ENI'!$A$4:$H$577,6,FALSE)</f>
        <v>VIA FERRIERE BRUZZO 13</v>
      </c>
      <c r="H401">
        <v>19</v>
      </c>
      <c r="I401" s="1">
        <v>4</v>
      </c>
      <c r="J401" s="1">
        <v>15</v>
      </c>
      <c r="K401" s="1">
        <v>0</v>
      </c>
      <c r="L401" s="4">
        <v>0</v>
      </c>
    </row>
    <row r="402" spans="1:12" x14ac:dyDescent="0.15">
      <c r="A402" s="3" t="s">
        <v>12</v>
      </c>
      <c r="B402">
        <v>1086</v>
      </c>
      <c r="C402" t="str">
        <f>VLOOKUP($B402,'[1]DB PV ENI'!$A$4:$H$577,2,FALSE)</f>
        <v>NORD OVEST</v>
      </c>
      <c r="D402" t="str">
        <f>VLOOKUP($B402,'[1]DB PV ENI'!$A$4:$H$577,3,FALSE)</f>
        <v>LIGURIA</v>
      </c>
      <c r="E402" t="str">
        <f>VLOOKUP($B402,'[1]DB PV ENI'!$A$4:$H$577,4,FALSE)</f>
        <v>GENOVA</v>
      </c>
      <c r="F402" t="str">
        <f>VLOOKUP($B402,'[1]DB PV ENI'!$A$4:$H$577,5,FALSE)</f>
        <v>RECCO</v>
      </c>
      <c r="G402" t="str">
        <f>VLOOKUP($B402,'[1]DB PV ENI'!$A$4:$H$577,6,FALSE)</f>
        <v>VIA ROMA</v>
      </c>
      <c r="H402">
        <v>6</v>
      </c>
      <c r="I402" s="1">
        <v>2</v>
      </c>
      <c r="J402" s="1">
        <v>4</v>
      </c>
      <c r="K402" s="1">
        <v>0</v>
      </c>
      <c r="L402" s="4">
        <v>0</v>
      </c>
    </row>
    <row r="403" spans="1:12" x14ac:dyDescent="0.15">
      <c r="A403" s="3" t="s">
        <v>12</v>
      </c>
      <c r="B403">
        <v>1135</v>
      </c>
      <c r="C403" t="str">
        <f>VLOOKUP($B403,'[1]DB PV ENI'!$A$4:$H$577,2,FALSE)</f>
        <v>NORD OVEST</v>
      </c>
      <c r="D403" t="str">
        <f>VLOOKUP($B403,'[1]DB PV ENI'!$A$4:$H$577,3,FALSE)</f>
        <v>LIGURIA</v>
      </c>
      <c r="E403" t="str">
        <f>VLOOKUP($B403,'[1]DB PV ENI'!$A$4:$H$577,4,FALSE)</f>
        <v>GENOVA</v>
      </c>
      <c r="F403" t="str">
        <f>VLOOKUP($B403,'[1]DB PV ENI'!$A$4:$H$577,5,FALSE)</f>
        <v>GENOVA</v>
      </c>
      <c r="G403" t="str">
        <f>VLOOKUP($B403,'[1]DB PV ENI'!$A$4:$H$577,6,FALSE)</f>
        <v>VIA SIFFREDI, 62</v>
      </c>
      <c r="H403">
        <v>2</v>
      </c>
      <c r="I403" s="1">
        <v>1</v>
      </c>
      <c r="J403" s="1">
        <v>1</v>
      </c>
      <c r="K403" s="1">
        <v>0</v>
      </c>
      <c r="L403" s="4">
        <v>0</v>
      </c>
    </row>
    <row r="404" spans="1:12" x14ac:dyDescent="0.15">
      <c r="A404" s="3" t="s">
        <v>12</v>
      </c>
      <c r="B404">
        <v>1142</v>
      </c>
      <c r="C404" t="str">
        <f>VLOOKUP($B404,'[1]DB PV ENI'!$A$4:$H$577,2,FALSE)</f>
        <v>NORD OVEST</v>
      </c>
      <c r="D404" t="str">
        <f>VLOOKUP($B404,'[1]DB PV ENI'!$A$4:$H$577,3,FALSE)</f>
        <v>LIGURIA</v>
      </c>
      <c r="E404" t="str">
        <f>VLOOKUP($B404,'[1]DB PV ENI'!$A$4:$H$577,4,FALSE)</f>
        <v>GENOVA</v>
      </c>
      <c r="F404" t="str">
        <f>VLOOKUP($B404,'[1]DB PV ENI'!$A$4:$H$577,5,FALSE)</f>
        <v>SESTRI LEVANTE</v>
      </c>
      <c r="G404" t="str">
        <f>VLOOKUP($B404,'[1]DB PV ENI'!$A$4:$H$577,6,FALSE)</f>
        <v>VIA BRUNO PRIMI, 14</v>
      </c>
      <c r="H404">
        <v>8</v>
      </c>
      <c r="I404" s="1">
        <v>2</v>
      </c>
      <c r="J404" s="1">
        <v>6</v>
      </c>
      <c r="K404" s="1">
        <v>0</v>
      </c>
      <c r="L404" s="4">
        <v>0</v>
      </c>
    </row>
    <row r="405" spans="1:12" x14ac:dyDescent="0.15">
      <c r="A405" s="3" t="s">
        <v>12</v>
      </c>
      <c r="B405">
        <v>1280</v>
      </c>
      <c r="C405" t="str">
        <f>VLOOKUP($B405,'[1]DB PV ENI'!$A$4:$H$577,2,FALSE)</f>
        <v>NORD OVEST</v>
      </c>
      <c r="D405" t="str">
        <f>VLOOKUP($B405,'[1]DB PV ENI'!$A$4:$H$577,3,FALSE)</f>
        <v>LIGURIA</v>
      </c>
      <c r="E405" t="str">
        <f>VLOOKUP($B405,'[1]DB PV ENI'!$A$4:$H$577,4,FALSE)</f>
        <v>LA SPEZIA</v>
      </c>
      <c r="F405" t="str">
        <f>VLOOKUP($B405,'[1]DB PV ENI'!$A$4:$H$577,5,FALSE)</f>
        <v>LA SPEZIA</v>
      </c>
      <c r="G405" t="str">
        <f>VLOOKUP($B405,'[1]DB PV ENI'!$A$4:$H$577,6,FALSE)</f>
        <v>VIALE ITALIA 160</v>
      </c>
      <c r="H405">
        <v>4</v>
      </c>
      <c r="I405" s="1">
        <v>0</v>
      </c>
      <c r="J405" s="1">
        <v>4</v>
      </c>
      <c r="K405" s="1">
        <v>0</v>
      </c>
      <c r="L405" s="4">
        <v>0</v>
      </c>
    </row>
    <row r="406" spans="1:12" x14ac:dyDescent="0.15">
      <c r="A406" s="3" t="s">
        <v>12</v>
      </c>
      <c r="B406">
        <v>1283</v>
      </c>
      <c r="C406" t="str">
        <f>VLOOKUP($B406,'[1]DB PV ENI'!$A$4:$H$577,2,FALSE)</f>
        <v>NORD OVEST</v>
      </c>
      <c r="D406" t="str">
        <f>VLOOKUP($B406,'[1]DB PV ENI'!$A$4:$H$577,3,FALSE)</f>
        <v>LIGURIA</v>
      </c>
      <c r="E406" t="str">
        <f>VLOOKUP($B406,'[1]DB PV ENI'!$A$4:$H$577,4,FALSE)</f>
        <v>LA SPEZIA</v>
      </c>
      <c r="F406" t="str">
        <f>VLOOKUP($B406,'[1]DB PV ENI'!$A$4:$H$577,5,FALSE)</f>
        <v>SARZANA</v>
      </c>
      <c r="G406" t="str">
        <f>VLOOKUP($B406,'[1]DB PV ENI'!$A$4:$H$577,6,FALSE)</f>
        <v>LOCALITA' MONTECAVALLO - VIA AURELIA 67/A</v>
      </c>
      <c r="H406">
        <v>4</v>
      </c>
      <c r="I406" s="1">
        <v>0</v>
      </c>
      <c r="J406" s="1">
        <v>4</v>
      </c>
      <c r="K406" s="1">
        <v>0</v>
      </c>
      <c r="L406" s="4">
        <v>0</v>
      </c>
    </row>
    <row r="407" spans="1:12" x14ac:dyDescent="0.15">
      <c r="A407" s="3" t="s">
        <v>12</v>
      </c>
      <c r="B407">
        <v>1288</v>
      </c>
      <c r="C407" t="str">
        <f>VLOOKUP($B407,'[1]DB PV ENI'!$A$4:$H$577,2,FALSE)</f>
        <v>NORD OVEST</v>
      </c>
      <c r="D407" t="str">
        <f>VLOOKUP($B407,'[1]DB PV ENI'!$A$4:$H$577,3,FALSE)</f>
        <v>LIGURIA</v>
      </c>
      <c r="E407" t="str">
        <f>VLOOKUP($B407,'[1]DB PV ENI'!$A$4:$H$577,4,FALSE)</f>
        <v>LA SPEZIA</v>
      </c>
      <c r="F407" t="str">
        <f>VLOOKUP($B407,'[1]DB PV ENI'!$A$4:$H$577,5,FALSE)</f>
        <v>BOLANO</v>
      </c>
      <c r="G407" t="str">
        <f>VLOOKUP($B407,'[1]DB PV ENI'!$A$4:$H$577,6,FALSE)</f>
        <v>VIA CISA 50</v>
      </c>
      <c r="H407">
        <v>2</v>
      </c>
      <c r="I407" s="1">
        <v>1</v>
      </c>
      <c r="J407" s="1">
        <v>1</v>
      </c>
      <c r="K407" s="1">
        <v>0</v>
      </c>
      <c r="L407" s="4">
        <v>0</v>
      </c>
    </row>
    <row r="408" spans="1:12" x14ac:dyDescent="0.15">
      <c r="A408" s="3" t="s">
        <v>12</v>
      </c>
      <c r="B408">
        <v>1334</v>
      </c>
      <c r="C408" t="str">
        <f>VLOOKUP($B408,'[1]DB PV ENI'!$A$4:$H$577,2,FALSE)</f>
        <v>NORD OVEST</v>
      </c>
      <c r="D408" t="str">
        <f>VLOOKUP($B408,'[1]DB PV ENI'!$A$4:$H$577,3,FALSE)</f>
        <v>LIGURIA</v>
      </c>
      <c r="E408" t="str">
        <f>VLOOKUP($B408,'[1]DB PV ENI'!$A$4:$H$577,4,FALSE)</f>
        <v>SAVONA</v>
      </c>
      <c r="F408" t="str">
        <f>VLOOKUP($B408,'[1]DB PV ENI'!$A$4:$H$577,5,FALSE)</f>
        <v>FINALE LIGURE</v>
      </c>
      <c r="G408" t="str">
        <f>VLOOKUP($B408,'[1]DB PV ENI'!$A$4:$H$577,6,FALSE)</f>
        <v>VIA MAZZINI</v>
      </c>
      <c r="H408">
        <v>2</v>
      </c>
      <c r="I408" s="1">
        <v>1</v>
      </c>
      <c r="J408" s="1">
        <v>1</v>
      </c>
      <c r="K408" s="1">
        <v>0</v>
      </c>
      <c r="L408" s="4">
        <v>0</v>
      </c>
    </row>
    <row r="409" spans="1:12" x14ac:dyDescent="0.15">
      <c r="A409" s="3" t="s">
        <v>12</v>
      </c>
      <c r="B409">
        <v>1371</v>
      </c>
      <c r="C409" t="str">
        <f>VLOOKUP($B409,'[1]DB PV ENI'!$A$4:$H$577,2,FALSE)</f>
        <v>NORD OVEST</v>
      </c>
      <c r="D409" t="str">
        <f>VLOOKUP($B409,'[1]DB PV ENI'!$A$4:$H$577,3,FALSE)</f>
        <v>LIGURIA</v>
      </c>
      <c r="E409" t="str">
        <f>VLOOKUP($B409,'[1]DB PV ENI'!$A$4:$H$577,4,FALSE)</f>
        <v>SAVONA</v>
      </c>
      <c r="F409" t="str">
        <f>VLOOKUP($B409,'[1]DB PV ENI'!$A$4:$H$577,5,FALSE)</f>
        <v>SAVONA</v>
      </c>
      <c r="G409" t="str">
        <f>VLOOKUP($B409,'[1]DB PV ENI'!$A$4:$H$577,6,FALSE)</f>
        <v>VIA NAZIONALE PIEMONTE 68 R</v>
      </c>
      <c r="H409">
        <v>5</v>
      </c>
      <c r="I409" s="1">
        <v>3</v>
      </c>
      <c r="J409" s="1">
        <v>2</v>
      </c>
      <c r="K409" s="1">
        <v>0</v>
      </c>
      <c r="L409" s="4">
        <v>0</v>
      </c>
    </row>
    <row r="410" spans="1:12" x14ac:dyDescent="0.15">
      <c r="A410" s="3" t="s">
        <v>12</v>
      </c>
      <c r="B410">
        <v>1409</v>
      </c>
      <c r="C410" t="str">
        <f>VLOOKUP($B410,'[1]DB PV ENI'!$A$4:$H$577,2,FALSE)</f>
        <v>NORD OVEST</v>
      </c>
      <c r="D410" t="str">
        <f>VLOOKUP($B410,'[1]DB PV ENI'!$A$4:$H$577,3,FALSE)</f>
        <v>PIEMONTE</v>
      </c>
      <c r="E410" t="str">
        <f>VLOOKUP($B410,'[1]DB PV ENI'!$A$4:$H$577,4,FALSE)</f>
        <v>ALESSANDRIA</v>
      </c>
      <c r="F410" t="str">
        <f>VLOOKUP($B410,'[1]DB PV ENI'!$A$4:$H$577,5,FALSE)</f>
        <v>NOVI LIGURE</v>
      </c>
      <c r="G410" t="str">
        <f>VLOOKUP($B410,'[1]DB PV ENI'!$A$4:$H$577,6,FALSE)</f>
        <v>VIA MAZZINI 56</v>
      </c>
      <c r="H410">
        <v>3</v>
      </c>
      <c r="I410" s="1">
        <v>0</v>
      </c>
      <c r="J410" s="1">
        <v>3</v>
      </c>
      <c r="K410" s="1">
        <v>0</v>
      </c>
      <c r="L410" s="4">
        <v>0</v>
      </c>
    </row>
    <row r="411" spans="1:12" x14ac:dyDescent="0.15">
      <c r="A411" s="3" t="s">
        <v>12</v>
      </c>
      <c r="B411">
        <v>1416</v>
      </c>
      <c r="C411" t="str">
        <f>VLOOKUP($B411,'[1]DB PV ENI'!$A$4:$H$577,2,FALSE)</f>
        <v>NORD OVEST</v>
      </c>
      <c r="D411" t="str">
        <f>VLOOKUP($B411,'[1]DB PV ENI'!$A$4:$H$577,3,FALSE)</f>
        <v>PIEMONTE</v>
      </c>
      <c r="E411" t="str">
        <f>VLOOKUP($B411,'[1]DB PV ENI'!$A$4:$H$577,4,FALSE)</f>
        <v>ALESSANDRIA</v>
      </c>
      <c r="F411" t="str">
        <f>VLOOKUP($B411,'[1]DB PV ENI'!$A$4:$H$577,5,FALSE)</f>
        <v>SERRAVALLE SCRIVIA</v>
      </c>
      <c r="G411" t="str">
        <f>VLOOKUP($B411,'[1]DB PV ENI'!$A$4:$H$577,6,FALSE)</f>
        <v>SS 35/BIS KM. 0+600 C/O OUTLET</v>
      </c>
      <c r="H411">
        <v>4</v>
      </c>
      <c r="I411" s="1">
        <v>2</v>
      </c>
      <c r="J411" s="1">
        <v>2</v>
      </c>
      <c r="K411" s="1">
        <v>0</v>
      </c>
      <c r="L411" s="4">
        <v>0</v>
      </c>
    </row>
    <row r="412" spans="1:12" x14ac:dyDescent="0.15">
      <c r="A412" s="3" t="s">
        <v>12</v>
      </c>
      <c r="B412">
        <v>1481</v>
      </c>
      <c r="C412" t="str">
        <f>VLOOKUP($B412,'[1]DB PV ENI'!$A$4:$H$577,2,FALSE)</f>
        <v>NORD OVEST</v>
      </c>
      <c r="D412" t="str">
        <f>VLOOKUP($B412,'[1]DB PV ENI'!$A$4:$H$577,3,FALSE)</f>
        <v>PIEMONTE</v>
      </c>
      <c r="E412" t="str">
        <f>VLOOKUP($B412,'[1]DB PV ENI'!$A$4:$H$577,4,FALSE)</f>
        <v>ASTI</v>
      </c>
      <c r="F412" t="str">
        <f>VLOOKUP($B412,'[1]DB PV ENI'!$A$4:$H$577,5,FALSE)</f>
        <v>VILLAFRANCA D'ASTI</v>
      </c>
      <c r="G412" t="str">
        <f>VLOOKUP($B412,'[1]DB PV ENI'!$A$4:$H$577,6,FALSE)</f>
        <v>REGIONE PIEVE N.47</v>
      </c>
      <c r="H412">
        <v>4</v>
      </c>
      <c r="I412" s="1">
        <v>1</v>
      </c>
      <c r="J412" s="1">
        <v>3</v>
      </c>
      <c r="K412" s="1">
        <v>0</v>
      </c>
      <c r="L412" s="4">
        <v>0</v>
      </c>
    </row>
    <row r="413" spans="1:12" x14ac:dyDescent="0.15">
      <c r="A413" s="3" t="s">
        <v>12</v>
      </c>
      <c r="B413">
        <v>1523</v>
      </c>
      <c r="C413" t="str">
        <f>VLOOKUP($B413,'[1]DB PV ENI'!$A$4:$H$577,2,FALSE)</f>
        <v>NORD OVEST</v>
      </c>
      <c r="D413" t="str">
        <f>VLOOKUP($B413,'[1]DB PV ENI'!$A$4:$H$577,3,FALSE)</f>
        <v>LOMBARDIA</v>
      </c>
      <c r="E413" t="str">
        <f>VLOOKUP($B413,'[1]DB PV ENI'!$A$4:$H$577,4,FALSE)</f>
        <v>BERGAMO</v>
      </c>
      <c r="F413" t="str">
        <f>VLOOKUP($B413,'[1]DB PV ENI'!$A$4:$H$577,5,FALSE)</f>
        <v>CISANO BERGAMASCO</v>
      </c>
      <c r="G413" t="str">
        <f>VLOOKUP($B413,'[1]DB PV ENI'!$A$4:$H$577,6,FALSE)</f>
        <v>SS342 KM 18+640</v>
      </c>
      <c r="H413">
        <v>5</v>
      </c>
      <c r="I413" s="1">
        <v>0</v>
      </c>
      <c r="J413" s="1">
        <v>5</v>
      </c>
      <c r="K413" s="1">
        <v>0</v>
      </c>
      <c r="L413" s="4">
        <v>0</v>
      </c>
    </row>
    <row r="414" spans="1:12" x14ac:dyDescent="0.15">
      <c r="A414" s="3" t="s">
        <v>12</v>
      </c>
      <c r="B414">
        <v>1527</v>
      </c>
      <c r="C414" t="str">
        <f>VLOOKUP($B414,'[1]DB PV ENI'!$A$4:$H$577,2,FALSE)</f>
        <v>NORD OVEST</v>
      </c>
      <c r="D414" t="str">
        <f>VLOOKUP($B414,'[1]DB PV ENI'!$A$4:$H$577,3,FALSE)</f>
        <v>LOMBARDIA</v>
      </c>
      <c r="E414" t="str">
        <f>VLOOKUP($B414,'[1]DB PV ENI'!$A$4:$H$577,4,FALSE)</f>
        <v>BERGAMO</v>
      </c>
      <c r="F414" t="str">
        <f>VLOOKUP($B414,'[1]DB PV ENI'!$A$4:$H$577,5,FALSE)</f>
        <v>DALMINE</v>
      </c>
      <c r="G414" t="str">
        <f>VLOOKUP($B414,'[1]DB PV ENI'!$A$4:$H$577,6,FALSE)</f>
        <v>STRADA PROVINCIALE 84</v>
      </c>
      <c r="H414">
        <v>10</v>
      </c>
      <c r="I414" s="1">
        <v>1</v>
      </c>
      <c r="J414" s="1">
        <v>9</v>
      </c>
      <c r="K414" s="1">
        <v>0</v>
      </c>
      <c r="L414" s="4">
        <v>0</v>
      </c>
    </row>
    <row r="415" spans="1:12" x14ac:dyDescent="0.15">
      <c r="A415" s="3" t="s">
        <v>12</v>
      </c>
      <c r="B415">
        <v>1561</v>
      </c>
      <c r="C415" t="str">
        <f>VLOOKUP($B415,'[1]DB PV ENI'!$A$4:$H$577,2,FALSE)</f>
        <v>NORD OVEST</v>
      </c>
      <c r="D415" t="str">
        <f>VLOOKUP($B415,'[1]DB PV ENI'!$A$4:$H$577,3,FALSE)</f>
        <v>LOMBARDIA</v>
      </c>
      <c r="E415" t="str">
        <f>VLOOKUP($B415,'[1]DB PV ENI'!$A$4:$H$577,4,FALSE)</f>
        <v>BERGAMO</v>
      </c>
      <c r="F415" t="str">
        <f>VLOOKUP($B415,'[1]DB PV ENI'!$A$4:$H$577,5,FALSE)</f>
        <v>PONTIROLO NUOVO</v>
      </c>
      <c r="G415" t="str">
        <f>VLOOKUP($B415,'[1]DB PV ENI'!$A$4:$H$577,6,FALSE)</f>
        <v>STR PROVLE N 12</v>
      </c>
      <c r="H415">
        <v>4</v>
      </c>
      <c r="I415" s="1">
        <v>1</v>
      </c>
      <c r="J415" s="1">
        <v>3</v>
      </c>
      <c r="K415" s="1">
        <v>0</v>
      </c>
      <c r="L415" s="4">
        <v>0</v>
      </c>
    </row>
    <row r="416" spans="1:12" x14ac:dyDescent="0.15">
      <c r="A416" s="3" t="s">
        <v>12</v>
      </c>
      <c r="B416">
        <v>1577</v>
      </c>
      <c r="C416" t="str">
        <f>VLOOKUP($B416,'[1]DB PV ENI'!$A$4:$H$577,2,FALSE)</f>
        <v>NORD OVEST</v>
      </c>
      <c r="D416" t="str">
        <f>VLOOKUP($B416,'[1]DB PV ENI'!$A$4:$H$577,3,FALSE)</f>
        <v>LOMBARDIA</v>
      </c>
      <c r="E416" t="str">
        <f>VLOOKUP($B416,'[1]DB PV ENI'!$A$4:$H$577,4,FALSE)</f>
        <v>BERGAMO</v>
      </c>
      <c r="F416" t="str">
        <f>VLOOKUP($B416,'[1]DB PV ENI'!$A$4:$H$577,5,FALSE)</f>
        <v>ZANICA</v>
      </c>
      <c r="G416" t="str">
        <f>VLOOKUP($B416,'[1]DB PV ENI'!$A$4:$H$577,6,FALSE)</f>
        <v>VIA PROVINCIALE</v>
      </c>
      <c r="H416">
        <v>18</v>
      </c>
      <c r="I416" s="1">
        <v>0</v>
      </c>
      <c r="J416" s="1">
        <v>18</v>
      </c>
      <c r="K416" s="1">
        <v>0</v>
      </c>
      <c r="L416" s="4">
        <v>0</v>
      </c>
    </row>
    <row r="417" spans="1:12" x14ac:dyDescent="0.15">
      <c r="A417" s="3" t="s">
        <v>12</v>
      </c>
      <c r="B417">
        <v>1631</v>
      </c>
      <c r="C417" t="str">
        <f>VLOOKUP($B417,'[1]DB PV ENI'!$A$4:$H$577,2,FALSE)</f>
        <v>NORD OVEST</v>
      </c>
      <c r="D417" t="str">
        <f>VLOOKUP($B417,'[1]DB PV ENI'!$A$4:$H$577,3,FALSE)</f>
        <v>LOMBARDIA</v>
      </c>
      <c r="E417" t="str">
        <f>VLOOKUP($B417,'[1]DB PV ENI'!$A$4:$H$577,4,FALSE)</f>
        <v>BERGAMO</v>
      </c>
      <c r="F417" t="str">
        <f>VLOOKUP($B417,'[1]DB PV ENI'!$A$4:$H$577,5,FALSE)</f>
        <v>TELGATE</v>
      </c>
      <c r="G417" t="str">
        <f>VLOOKUP($B417,'[1]DB PV ENI'!$A$4:$H$577,6,FALSE)</f>
        <v>VIALE PAPA GIOVANNI</v>
      </c>
      <c r="H417">
        <v>3</v>
      </c>
      <c r="I417" s="1">
        <v>0</v>
      </c>
      <c r="J417" s="1">
        <v>3</v>
      </c>
      <c r="K417" s="1">
        <v>0</v>
      </c>
      <c r="L417" s="4">
        <v>0</v>
      </c>
    </row>
    <row r="418" spans="1:12" x14ac:dyDescent="0.15">
      <c r="A418" s="3" t="s">
        <v>12</v>
      </c>
      <c r="B418">
        <v>1637</v>
      </c>
      <c r="C418" t="str">
        <f>VLOOKUP($B418,'[1]DB PV ENI'!$A$4:$H$577,2,FALSE)</f>
        <v>NORD OVEST</v>
      </c>
      <c r="D418" t="str">
        <f>VLOOKUP($B418,'[1]DB PV ENI'!$A$4:$H$577,3,FALSE)</f>
        <v>LOMBARDIA</v>
      </c>
      <c r="E418" t="str">
        <f>VLOOKUP($B418,'[1]DB PV ENI'!$A$4:$H$577,4,FALSE)</f>
        <v>BERGAMO</v>
      </c>
      <c r="F418" t="str">
        <f>VLOOKUP($B418,'[1]DB PV ENI'!$A$4:$H$577,5,FALSE)</f>
        <v>CURNO</v>
      </c>
      <c r="G418" t="str">
        <f>VLOOKUP($B418,'[1]DB PV ENI'!$A$4:$H$577,6,FALSE)</f>
        <v>SS671 VALSERIANA  KM0,9820</v>
      </c>
      <c r="H418">
        <v>3</v>
      </c>
      <c r="I418" s="1">
        <v>1</v>
      </c>
      <c r="J418" s="1">
        <v>2</v>
      </c>
      <c r="K418" s="1">
        <v>0</v>
      </c>
      <c r="L418" s="4">
        <v>0</v>
      </c>
    </row>
    <row r="419" spans="1:12" x14ac:dyDescent="0.15">
      <c r="A419" s="3" t="s">
        <v>12</v>
      </c>
      <c r="B419">
        <v>1638</v>
      </c>
      <c r="C419" t="str">
        <f>VLOOKUP($B419,'[1]DB PV ENI'!$A$4:$H$577,2,FALSE)</f>
        <v>NORD OVEST</v>
      </c>
      <c r="D419" t="str">
        <f>VLOOKUP($B419,'[1]DB PV ENI'!$A$4:$H$577,3,FALSE)</f>
        <v>LOMBARDIA</v>
      </c>
      <c r="E419" t="str">
        <f>VLOOKUP($B419,'[1]DB PV ENI'!$A$4:$H$577,4,FALSE)</f>
        <v>BERGAMO</v>
      </c>
      <c r="F419" t="str">
        <f>VLOOKUP($B419,'[1]DB PV ENI'!$A$4:$H$577,5,FALSE)</f>
        <v>GRUMELLO DEL MONTE</v>
      </c>
      <c r="G419" t="str">
        <f>VLOOKUP($B419,'[1]DB PV ENI'!$A$4:$H$577,6,FALSE)</f>
        <v>VIA LEGA LOMBARDA 2</v>
      </c>
      <c r="H419">
        <v>12</v>
      </c>
      <c r="I419" s="1">
        <v>0</v>
      </c>
      <c r="J419" s="1">
        <v>12</v>
      </c>
      <c r="K419" s="1">
        <v>0</v>
      </c>
      <c r="L419" s="4">
        <v>0</v>
      </c>
    </row>
    <row r="420" spans="1:12" x14ac:dyDescent="0.15">
      <c r="A420" s="3" t="s">
        <v>12</v>
      </c>
      <c r="B420">
        <v>1844</v>
      </c>
      <c r="C420" t="str">
        <f>VLOOKUP($B420,'[1]DB PV ENI'!$A$4:$H$577,2,FALSE)</f>
        <v>NORD OVEST</v>
      </c>
      <c r="D420" t="str">
        <f>VLOOKUP($B420,'[1]DB PV ENI'!$A$4:$H$577,3,FALSE)</f>
        <v>LOMBARDIA</v>
      </c>
      <c r="E420" t="str">
        <f>VLOOKUP($B420,'[1]DB PV ENI'!$A$4:$H$577,4,FALSE)</f>
        <v>COMO</v>
      </c>
      <c r="F420" t="str">
        <f>VLOOKUP($B420,'[1]DB PV ENI'!$A$4:$H$577,5,FALSE)</f>
        <v>FINO MORNASCO</v>
      </c>
      <c r="G420" t="str">
        <f>VLOOKUP($B420,'[1]DB PV ENI'!$A$4:$H$577,6,FALSE)</f>
        <v>VIA GARIBALDI 197</v>
      </c>
      <c r="H420">
        <v>4</v>
      </c>
      <c r="I420" s="1">
        <v>2</v>
      </c>
      <c r="J420" s="1">
        <v>2</v>
      </c>
      <c r="K420" s="1">
        <v>0</v>
      </c>
      <c r="L420" s="4">
        <v>0</v>
      </c>
    </row>
    <row r="421" spans="1:12" x14ac:dyDescent="0.15">
      <c r="A421" s="3" t="s">
        <v>12</v>
      </c>
      <c r="B421">
        <v>1919</v>
      </c>
      <c r="C421" t="str">
        <f>VLOOKUP($B421,'[1]DB PV ENI'!$A$4:$H$577,2,FALSE)</f>
        <v>NORD OVEST</v>
      </c>
      <c r="D421" t="str">
        <f>VLOOKUP($B421,'[1]DB PV ENI'!$A$4:$H$577,3,FALSE)</f>
        <v>LOMBARDIA</v>
      </c>
      <c r="E421" t="str">
        <f>VLOOKUP($B421,'[1]DB PV ENI'!$A$4:$H$577,4,FALSE)</f>
        <v>COMO</v>
      </c>
      <c r="F421" t="str">
        <f>VLOOKUP($B421,'[1]DB PV ENI'!$A$4:$H$577,5,FALSE)</f>
        <v>COMO</v>
      </c>
      <c r="G421" t="str">
        <f>VLOOKUP($B421,'[1]DB PV ENI'!$A$4:$H$577,6,FALSE)</f>
        <v>VIA ROSSELLI 19</v>
      </c>
      <c r="H421">
        <v>22</v>
      </c>
      <c r="I421" s="1">
        <v>8</v>
      </c>
      <c r="J421" s="1">
        <v>14</v>
      </c>
      <c r="K421" s="1">
        <v>0</v>
      </c>
      <c r="L421" s="4">
        <v>0</v>
      </c>
    </row>
    <row r="422" spans="1:12" x14ac:dyDescent="0.15">
      <c r="A422" s="3" t="s">
        <v>12</v>
      </c>
      <c r="B422">
        <v>1971</v>
      </c>
      <c r="C422" t="str">
        <f>VLOOKUP($B422,'[1]DB PV ENI'!$A$4:$H$577,2,FALSE)</f>
        <v>NORD OVEST</v>
      </c>
      <c r="D422" t="str">
        <f>VLOOKUP($B422,'[1]DB PV ENI'!$A$4:$H$577,3,FALSE)</f>
        <v>LOMBARDIA</v>
      </c>
      <c r="E422" t="str">
        <f>VLOOKUP($B422,'[1]DB PV ENI'!$A$4:$H$577,4,FALSE)</f>
        <v>CREMONA</v>
      </c>
      <c r="F422" t="str">
        <f>VLOOKUP($B422,'[1]DB PV ENI'!$A$4:$H$577,5,FALSE)</f>
        <v>CREMONA</v>
      </c>
      <c r="G422" t="str">
        <f>VLOOKUP($B422,'[1]DB PV ENI'!$A$4:$H$577,6,FALSE)</f>
        <v>VIA BERGAMO 47</v>
      </c>
      <c r="H422">
        <v>13</v>
      </c>
      <c r="I422" s="1">
        <v>4</v>
      </c>
      <c r="J422" s="1">
        <v>9</v>
      </c>
      <c r="K422" s="1">
        <v>0</v>
      </c>
      <c r="L422" s="4">
        <v>0</v>
      </c>
    </row>
    <row r="423" spans="1:12" x14ac:dyDescent="0.15">
      <c r="A423" s="3" t="s">
        <v>12</v>
      </c>
      <c r="B423">
        <v>2004</v>
      </c>
      <c r="C423" t="str">
        <f>VLOOKUP($B423,'[1]DB PV ENI'!$A$4:$H$577,2,FALSE)</f>
        <v>NORD OVEST</v>
      </c>
      <c r="D423" t="str">
        <f>VLOOKUP($B423,'[1]DB PV ENI'!$A$4:$H$577,3,FALSE)</f>
        <v>LOMBARDIA</v>
      </c>
      <c r="E423" t="str">
        <f>VLOOKUP($B423,'[1]DB PV ENI'!$A$4:$H$577,4,FALSE)</f>
        <v>CREMONA</v>
      </c>
      <c r="F423" t="str">
        <f>VLOOKUP($B423,'[1]DB PV ENI'!$A$4:$H$577,5,FALSE)</f>
        <v>RIVOLTA D'ADDA</v>
      </c>
      <c r="G423" t="str">
        <f>VLOOKUP($B423,'[1]DB PV ENI'!$A$4:$H$577,6,FALSE)</f>
        <v>VIA GIUSEPPE DI VITTORIO 17</v>
      </c>
      <c r="H423">
        <v>7</v>
      </c>
      <c r="I423" s="1">
        <v>1</v>
      </c>
      <c r="J423" s="1">
        <v>6</v>
      </c>
      <c r="K423" s="1">
        <v>0</v>
      </c>
      <c r="L423" s="4">
        <v>0</v>
      </c>
    </row>
    <row r="424" spans="1:12" x14ac:dyDescent="0.15">
      <c r="A424" s="3" t="s">
        <v>12</v>
      </c>
      <c r="B424">
        <v>2024</v>
      </c>
      <c r="C424" t="str">
        <f>VLOOKUP($B424,'[1]DB PV ENI'!$A$4:$H$577,2,FALSE)</f>
        <v>NORD OVEST</v>
      </c>
      <c r="D424" t="str">
        <f>VLOOKUP($B424,'[1]DB PV ENI'!$A$4:$H$577,3,FALSE)</f>
        <v>LOMBARDIA</v>
      </c>
      <c r="E424" t="str">
        <f>VLOOKUP($B424,'[1]DB PV ENI'!$A$4:$H$577,4,FALSE)</f>
        <v>CREMONA</v>
      </c>
      <c r="F424" t="str">
        <f>VLOOKUP($B424,'[1]DB PV ENI'!$A$4:$H$577,5,FALSE)</f>
        <v>CASALMAGGIORE</v>
      </c>
      <c r="G424" t="str">
        <f>VLOOKUP($B424,'[1]DB PV ENI'!$A$4:$H$577,6,FALSE)</f>
        <v>VIA ROMA 36</v>
      </c>
      <c r="H424">
        <v>2</v>
      </c>
      <c r="I424" s="1">
        <v>1</v>
      </c>
      <c r="J424" s="1">
        <v>1</v>
      </c>
      <c r="K424" s="1">
        <v>0</v>
      </c>
      <c r="L424" s="4">
        <v>0</v>
      </c>
    </row>
    <row r="425" spans="1:12" x14ac:dyDescent="0.15">
      <c r="A425" s="3" t="s">
        <v>12</v>
      </c>
      <c r="B425">
        <v>2036</v>
      </c>
      <c r="C425" t="str">
        <f>VLOOKUP($B425,'[1]DB PV ENI'!$A$4:$H$577,2,FALSE)</f>
        <v>NORD OVEST</v>
      </c>
      <c r="D425" t="str">
        <f>VLOOKUP($B425,'[1]DB PV ENI'!$A$4:$H$577,3,FALSE)</f>
        <v>LOMBARDIA</v>
      </c>
      <c r="E425" t="str">
        <f>VLOOKUP($B425,'[1]DB PV ENI'!$A$4:$H$577,4,FALSE)</f>
        <v>CREMONA</v>
      </c>
      <c r="F425" t="str">
        <f>VLOOKUP($B425,'[1]DB PV ENI'!$A$4:$H$577,5,FALSE)</f>
        <v>CREMONA</v>
      </c>
      <c r="G425" t="str">
        <f>VLOOKUP($B425,'[1]DB PV ENI'!$A$4:$H$577,6,FALSE)</f>
        <v>VIA CASTELLEONE, 47</v>
      </c>
      <c r="H425">
        <v>12</v>
      </c>
      <c r="I425" s="1">
        <v>3</v>
      </c>
      <c r="J425" s="1">
        <v>9</v>
      </c>
      <c r="K425" s="1">
        <v>0</v>
      </c>
      <c r="L425" s="4">
        <v>0</v>
      </c>
    </row>
    <row r="426" spans="1:12" x14ac:dyDescent="0.15">
      <c r="A426" s="3" t="s">
        <v>12</v>
      </c>
      <c r="B426">
        <v>2164</v>
      </c>
      <c r="C426" t="str">
        <f>VLOOKUP($B426,'[1]DB PV ENI'!$A$4:$H$577,2,FALSE)</f>
        <v>NORD OVEST</v>
      </c>
      <c r="D426" t="str">
        <f>VLOOKUP($B426,'[1]DB PV ENI'!$A$4:$H$577,3,FALSE)</f>
        <v>LOMBARDIA</v>
      </c>
      <c r="E426" t="str">
        <f>VLOOKUP($B426,'[1]DB PV ENI'!$A$4:$H$577,4,FALSE)</f>
        <v>LODI</v>
      </c>
      <c r="F426" t="str">
        <f>VLOOKUP($B426,'[1]DB PV ENI'!$A$4:$H$577,5,FALSE)</f>
        <v>CASALPUSTERLENGO</v>
      </c>
      <c r="G426" t="str">
        <f>VLOOKUP($B426,'[1]DB PV ENI'!$A$4:$H$577,6,FALSE)</f>
        <v>SS.234 KM 9+250</v>
      </c>
      <c r="H426">
        <v>8</v>
      </c>
      <c r="I426" s="1">
        <v>1</v>
      </c>
      <c r="J426" s="1">
        <v>7</v>
      </c>
      <c r="K426" s="1">
        <v>0</v>
      </c>
      <c r="L426" s="4">
        <v>0</v>
      </c>
    </row>
    <row r="427" spans="1:12" x14ac:dyDescent="0.15">
      <c r="A427" s="3" t="s">
        <v>12</v>
      </c>
      <c r="B427">
        <v>2222</v>
      </c>
      <c r="C427" t="str">
        <f>VLOOKUP($B427,'[1]DB PV ENI'!$A$4:$H$577,2,FALSE)</f>
        <v>NORD OVEST</v>
      </c>
      <c r="D427" t="str">
        <f>VLOOKUP($B427,'[1]DB PV ENI'!$A$4:$H$577,3,FALSE)</f>
        <v>LOMBARDIA</v>
      </c>
      <c r="E427" t="str">
        <f>VLOOKUP($B427,'[1]DB PV ENI'!$A$4:$H$577,4,FALSE)</f>
        <v>MILANO</v>
      </c>
      <c r="F427" t="str">
        <f>VLOOKUP($B427,'[1]DB PV ENI'!$A$4:$H$577,5,FALSE)</f>
        <v>MILANO</v>
      </c>
      <c r="G427" t="str">
        <f>VLOOKUP($B427,'[1]DB PV ENI'!$A$4:$H$577,6,FALSE)</f>
        <v>VIA MURAT 14</v>
      </c>
      <c r="H427">
        <v>1</v>
      </c>
      <c r="I427" s="1">
        <v>1</v>
      </c>
      <c r="J427" s="1">
        <v>0</v>
      </c>
      <c r="K427" s="1">
        <v>0</v>
      </c>
      <c r="L427" s="4" t="e">
        <v>#DIV/0!</v>
      </c>
    </row>
    <row r="428" spans="1:12" x14ac:dyDescent="0.15">
      <c r="A428" s="3" t="s">
        <v>12</v>
      </c>
      <c r="B428">
        <v>2597</v>
      </c>
      <c r="C428" t="str">
        <f>VLOOKUP($B428,'[1]DB PV ENI'!$A$4:$H$577,2,FALSE)</f>
        <v>NORD OVEST</v>
      </c>
      <c r="D428" t="str">
        <f>VLOOKUP($B428,'[1]DB PV ENI'!$A$4:$H$577,3,FALSE)</f>
        <v>LOMBARDIA</v>
      </c>
      <c r="E428" t="str">
        <f>VLOOKUP($B428,'[1]DB PV ENI'!$A$4:$H$577,4,FALSE)</f>
        <v>PAVIA</v>
      </c>
      <c r="F428" t="str">
        <f>VLOOKUP($B428,'[1]DB PV ENI'!$A$4:$H$577,5,FALSE)</f>
        <v>SANNAZZARO DE' BURGONDI</v>
      </c>
      <c r="G428" t="str">
        <f>VLOOKUP($B428,'[1]DB PV ENI'!$A$4:$H$577,6,FALSE)</f>
        <v>VIA F.LLI ROSSELLI, N. 17</v>
      </c>
      <c r="H428">
        <v>5</v>
      </c>
      <c r="I428" s="1">
        <v>1</v>
      </c>
      <c r="J428" s="1">
        <v>4</v>
      </c>
      <c r="K428" s="1">
        <v>0</v>
      </c>
      <c r="L428" s="4">
        <v>0</v>
      </c>
    </row>
    <row r="429" spans="1:12" x14ac:dyDescent="0.15">
      <c r="A429" s="3" t="s">
        <v>12</v>
      </c>
      <c r="B429">
        <v>2874</v>
      </c>
      <c r="C429" t="str">
        <f>VLOOKUP($B429,'[1]DB PV ENI'!$A$4:$H$577,2,FALSE)</f>
        <v>NORD OVEST</v>
      </c>
      <c r="D429" t="str">
        <f>VLOOKUP($B429,'[1]DB PV ENI'!$A$4:$H$577,3,FALSE)</f>
        <v>LOMBARDIA</v>
      </c>
      <c r="E429" t="str">
        <f>VLOOKUP($B429,'[1]DB PV ENI'!$A$4:$H$577,4,FALSE)</f>
        <v>VARESE</v>
      </c>
      <c r="F429" t="str">
        <f>VLOOKUP($B429,'[1]DB PV ENI'!$A$4:$H$577,5,FALSE)</f>
        <v>OLGIATE OLONA</v>
      </c>
      <c r="G429" t="str">
        <f>VLOOKUP($B429,'[1]DB PV ENI'!$A$4:$H$577,6,FALSE)</f>
        <v>VIA FAGNANO OLONA  30</v>
      </c>
      <c r="H429">
        <v>12</v>
      </c>
      <c r="I429" s="1">
        <v>3</v>
      </c>
      <c r="J429" s="1">
        <v>9</v>
      </c>
      <c r="K429" s="1">
        <v>0</v>
      </c>
      <c r="L429" s="4">
        <v>0</v>
      </c>
    </row>
    <row r="430" spans="1:12" x14ac:dyDescent="0.15">
      <c r="A430" s="3" t="s">
        <v>12</v>
      </c>
      <c r="B430">
        <v>2925</v>
      </c>
      <c r="C430" t="str">
        <f>VLOOKUP($B430,'[1]DB PV ENI'!$A$4:$H$577,2,FALSE)</f>
        <v>NORD OVEST</v>
      </c>
      <c r="D430" t="str">
        <f>VLOOKUP($B430,'[1]DB PV ENI'!$A$4:$H$577,3,FALSE)</f>
        <v>LOMBARDIA</v>
      </c>
      <c r="E430" t="str">
        <f>VLOOKUP($B430,'[1]DB PV ENI'!$A$4:$H$577,4,FALSE)</f>
        <v>VARESE</v>
      </c>
      <c r="F430" t="str">
        <f>VLOOKUP($B430,'[1]DB PV ENI'!$A$4:$H$577,5,FALSE)</f>
        <v>CARDANO AL CAMPO</v>
      </c>
      <c r="G430" t="str">
        <f>VLOOKUP($B430,'[1]DB PV ENI'!$A$4:$H$577,6,FALSE)</f>
        <v>S.S.336 PER MALPENSA  KM.8+500</v>
      </c>
      <c r="H430">
        <v>2</v>
      </c>
      <c r="I430" s="1">
        <v>2</v>
      </c>
      <c r="J430" s="1">
        <v>0</v>
      </c>
      <c r="K430" s="1">
        <v>0</v>
      </c>
      <c r="L430" s="4" t="e">
        <v>#DIV/0!</v>
      </c>
    </row>
    <row r="431" spans="1:12" x14ac:dyDescent="0.15">
      <c r="A431" s="3" t="s">
        <v>12</v>
      </c>
      <c r="B431">
        <v>11455</v>
      </c>
      <c r="C431" t="str">
        <f>VLOOKUP($B431,'[1]DB PV ENI'!$A$4:$H$577,2,FALSE)</f>
        <v>NORD OVEST</v>
      </c>
      <c r="D431" t="str">
        <f>VLOOKUP($B431,'[1]DB PV ENI'!$A$4:$H$577,3,FALSE)</f>
        <v>PIEMONTE</v>
      </c>
      <c r="E431" t="str">
        <f>VLOOKUP($B431,'[1]DB PV ENI'!$A$4:$H$577,4,FALSE)</f>
        <v>ALESSANDRIA</v>
      </c>
      <c r="F431" t="str">
        <f>VLOOKUP($B431,'[1]DB PV ENI'!$A$4:$H$577,5,FALSE)</f>
        <v>CASALE MONFERRATO</v>
      </c>
      <c r="G431" t="str">
        <f>VLOOKUP($B431,'[1]DB PV ENI'!$A$4:$H$577,6,FALSE)</f>
        <v>STR. STATALE 31 KM 22+335</v>
      </c>
      <c r="H431">
        <v>15</v>
      </c>
      <c r="I431" s="1">
        <v>2</v>
      </c>
      <c r="J431" s="1">
        <v>13</v>
      </c>
      <c r="K431" s="1">
        <v>0</v>
      </c>
      <c r="L431" s="4">
        <v>0</v>
      </c>
    </row>
    <row r="432" spans="1:12" x14ac:dyDescent="0.15">
      <c r="A432" s="3" t="s">
        <v>12</v>
      </c>
      <c r="B432">
        <v>11719</v>
      </c>
      <c r="C432" t="str">
        <f>VLOOKUP($B432,'[1]DB PV ENI'!$A$4:$H$577,2,FALSE)</f>
        <v>NORD OVEST</v>
      </c>
      <c r="D432" t="str">
        <f>VLOOKUP($B432,'[1]DB PV ENI'!$A$4:$H$577,3,FALSE)</f>
        <v>LOMBARDIA</v>
      </c>
      <c r="E432" t="str">
        <f>VLOOKUP($B432,'[1]DB PV ENI'!$A$4:$H$577,4,FALSE)</f>
        <v>BRESCIA</v>
      </c>
      <c r="F432" t="str">
        <f>VLOOKUP($B432,'[1]DB PV ENI'!$A$4:$H$577,5,FALSE)</f>
        <v>MONTICHIARI</v>
      </c>
      <c r="G432" t="str">
        <f>VLOOKUP($B432,'[1]DB PV ENI'!$A$4:$H$577,6,FALSE)</f>
        <v>S.S. 668 - VIA GHEDI</v>
      </c>
      <c r="H432">
        <v>6</v>
      </c>
      <c r="I432" s="1">
        <v>1</v>
      </c>
      <c r="J432" s="1">
        <v>5</v>
      </c>
      <c r="K432" s="1">
        <v>0</v>
      </c>
      <c r="L432" s="4">
        <v>0</v>
      </c>
    </row>
    <row r="433" spans="1:12" x14ac:dyDescent="0.15">
      <c r="A433" s="3" t="s">
        <v>12</v>
      </c>
      <c r="B433">
        <v>11725</v>
      </c>
      <c r="C433" t="str">
        <f>VLOOKUP($B433,'[1]DB PV ENI'!$A$4:$H$577,2,FALSE)</f>
        <v>NORD OVEST</v>
      </c>
      <c r="D433" t="str">
        <f>VLOOKUP($B433,'[1]DB PV ENI'!$A$4:$H$577,3,FALSE)</f>
        <v>LOMBARDIA</v>
      </c>
      <c r="E433" t="str">
        <f>VLOOKUP($B433,'[1]DB PV ENI'!$A$4:$H$577,4,FALSE)</f>
        <v>BRESCIA</v>
      </c>
      <c r="F433" t="str">
        <f>VLOOKUP($B433,'[1]DB PV ENI'!$A$4:$H$577,5,FALSE)</f>
        <v>GAVARDO</v>
      </c>
      <c r="G433" t="str">
        <f>VLOOKUP($B433,'[1]DB PV ENI'!$A$4:$H$577,6,FALSE)</f>
        <v>LOC. ROCCOLINO SS45 BIS</v>
      </c>
      <c r="H433">
        <v>6</v>
      </c>
      <c r="I433" s="1">
        <v>0</v>
      </c>
      <c r="J433" s="1">
        <v>6</v>
      </c>
      <c r="K433" s="1">
        <v>0</v>
      </c>
      <c r="L433" s="4">
        <v>0</v>
      </c>
    </row>
    <row r="434" spans="1:12" x14ac:dyDescent="0.15">
      <c r="A434" s="3" t="s">
        <v>12</v>
      </c>
      <c r="B434">
        <v>12112</v>
      </c>
      <c r="C434" t="str">
        <f>VLOOKUP($B434,'[1]DB PV ENI'!$A$4:$H$577,2,FALSE)</f>
        <v>NORD OVEST</v>
      </c>
      <c r="D434" t="str">
        <f>VLOOKUP($B434,'[1]DB PV ENI'!$A$4:$H$577,3,FALSE)</f>
        <v>LOMBARDIA</v>
      </c>
      <c r="E434" t="str">
        <f>VLOOKUP($B434,'[1]DB PV ENI'!$A$4:$H$577,4,FALSE)</f>
        <v>MANTOVA</v>
      </c>
      <c r="F434" t="str">
        <f>VLOOKUP($B434,'[1]DB PV ENI'!$A$4:$H$577,5,FALSE)</f>
        <v>MANTOVA</v>
      </c>
      <c r="G434" t="str">
        <f>VLOOKUP($B434,'[1]DB PV ENI'!$A$4:$H$577,6,FALSE)</f>
        <v>VIA FRANCESCO VAINI</v>
      </c>
      <c r="H434">
        <v>9</v>
      </c>
      <c r="I434" s="1">
        <v>2</v>
      </c>
      <c r="J434" s="1">
        <v>7</v>
      </c>
      <c r="K434" s="1">
        <v>0</v>
      </c>
      <c r="L434" s="4">
        <v>0</v>
      </c>
    </row>
    <row r="435" spans="1:12" x14ac:dyDescent="0.15">
      <c r="A435" s="3" t="s">
        <v>12</v>
      </c>
      <c r="B435">
        <v>12416</v>
      </c>
      <c r="C435" t="str">
        <f>VLOOKUP($B435,'[1]DB PV ENI'!$A$4:$H$577,2,FALSE)</f>
        <v>NORD OVEST</v>
      </c>
      <c r="D435" t="str">
        <f>VLOOKUP($B435,'[1]DB PV ENI'!$A$4:$H$577,3,FALSE)</f>
        <v>LOMBARDIA</v>
      </c>
      <c r="E435" t="str">
        <f>VLOOKUP($B435,'[1]DB PV ENI'!$A$4:$H$577,4,FALSE)</f>
        <v>MILANO</v>
      </c>
      <c r="F435" t="str">
        <f>VLOOKUP($B435,'[1]DB PV ENI'!$A$4:$H$577,5,FALSE)</f>
        <v>PADERNO DUGNANO</v>
      </c>
      <c r="G435" t="str">
        <f>VLOOKUP($B435,'[1]DB PV ENI'!$A$4:$H$577,6,FALSE)</f>
        <v>SP 35 DEI GIOVI KM 132+300</v>
      </c>
      <c r="H435">
        <v>3</v>
      </c>
      <c r="I435" s="1">
        <v>0</v>
      </c>
      <c r="J435" s="1">
        <v>3</v>
      </c>
      <c r="K435" s="1">
        <v>0</v>
      </c>
      <c r="L435" s="4">
        <v>0</v>
      </c>
    </row>
    <row r="436" spans="1:12" x14ac:dyDescent="0.15">
      <c r="A436" s="3" t="s">
        <v>12</v>
      </c>
      <c r="B436">
        <v>51570</v>
      </c>
      <c r="C436" t="str">
        <f>VLOOKUP($B436,'[1]DB PV ENI'!$A$4:$H$577,2,FALSE)</f>
        <v>NORD OVEST</v>
      </c>
      <c r="D436" t="str">
        <f>VLOOKUP($B436,'[1]DB PV ENI'!$A$4:$H$577,3,FALSE)</f>
        <v>LIGURIA</v>
      </c>
      <c r="E436" t="str">
        <f>VLOOKUP($B436,'[1]DB PV ENI'!$A$4:$H$577,4,FALSE)</f>
        <v>IMPERIA</v>
      </c>
      <c r="F436" t="str">
        <f>VLOOKUP($B436,'[1]DB PV ENI'!$A$4:$H$577,5,FALSE)</f>
        <v>VENTIMIGLIA</v>
      </c>
      <c r="G436" t="str">
        <f>VLOOKUP($B436,'[1]DB PV ENI'!$A$4:$H$577,6,FALSE)</f>
        <v>CSO LIMONE PIEMONTE 1</v>
      </c>
      <c r="H436">
        <v>9</v>
      </c>
      <c r="I436" s="1">
        <v>5</v>
      </c>
      <c r="J436" s="1">
        <v>4</v>
      </c>
      <c r="K436" s="1">
        <v>0</v>
      </c>
      <c r="L436" s="4">
        <v>0</v>
      </c>
    </row>
    <row r="437" spans="1:12" x14ac:dyDescent="0.15">
      <c r="A437" s="3" t="s">
        <v>12</v>
      </c>
      <c r="B437">
        <v>51674</v>
      </c>
      <c r="C437" t="str">
        <f>VLOOKUP($B437,'[1]DB PV ENI'!$A$4:$H$577,2,FALSE)</f>
        <v>NORD OVEST</v>
      </c>
      <c r="D437" t="str">
        <f>VLOOKUP($B437,'[1]DB PV ENI'!$A$4:$H$577,3,FALSE)</f>
        <v>LOMBARDIA</v>
      </c>
      <c r="E437" t="str">
        <f>VLOOKUP($B437,'[1]DB PV ENI'!$A$4:$H$577,4,FALSE)</f>
        <v>BERGAMO</v>
      </c>
      <c r="F437" t="str">
        <f>VLOOKUP($B437,'[1]DB PV ENI'!$A$4:$H$577,5,FALSE)</f>
        <v>CARAVAGGIO</v>
      </c>
      <c r="G437" t="str">
        <f>VLOOKUP($B437,'[1]DB PV ENI'!$A$4:$H$577,6,FALSE)</f>
        <v>SS 11 PADANA SUPERIORE KM. 182+719</v>
      </c>
      <c r="H437">
        <v>1</v>
      </c>
      <c r="I437" s="1">
        <v>0</v>
      </c>
      <c r="J437" s="1">
        <v>1</v>
      </c>
      <c r="K437" s="1">
        <v>0</v>
      </c>
      <c r="L437" s="4">
        <v>0</v>
      </c>
    </row>
    <row r="438" spans="1:12" x14ac:dyDescent="0.15">
      <c r="A438" s="3" t="s">
        <v>12</v>
      </c>
      <c r="B438">
        <v>51919</v>
      </c>
      <c r="C438" t="str">
        <f>VLOOKUP($B438,'[1]DB PV ENI'!$A$4:$H$577,2,FALSE)</f>
        <v>NORD OVEST</v>
      </c>
      <c r="D438" t="str">
        <f>VLOOKUP($B438,'[1]DB PV ENI'!$A$4:$H$577,3,FALSE)</f>
        <v>LOMBARDIA</v>
      </c>
      <c r="E438" t="str">
        <f>VLOOKUP($B438,'[1]DB PV ENI'!$A$4:$H$577,4,FALSE)</f>
        <v>MILANO</v>
      </c>
      <c r="F438" t="str">
        <f>VLOOKUP($B438,'[1]DB PV ENI'!$A$4:$H$577,5,FALSE)</f>
        <v>PAULLO</v>
      </c>
      <c r="G438" t="str">
        <f>VLOOKUP($B438,'[1]DB PV ENI'!$A$4:$H$577,6,FALSE)</f>
        <v>VIA MILANO 108</v>
      </c>
      <c r="H438">
        <v>10</v>
      </c>
      <c r="I438" s="1">
        <v>3</v>
      </c>
      <c r="J438" s="1">
        <v>7</v>
      </c>
      <c r="K438" s="1">
        <v>0</v>
      </c>
      <c r="L438" s="4">
        <v>0</v>
      </c>
    </row>
    <row r="439" spans="1:12" x14ac:dyDescent="0.15">
      <c r="A439" s="3" t="s">
        <v>12</v>
      </c>
      <c r="B439">
        <v>52027</v>
      </c>
      <c r="C439" t="str">
        <f>VLOOKUP($B439,'[1]DB PV ENI'!$A$4:$H$577,2,FALSE)</f>
        <v>NORD OVEST</v>
      </c>
      <c r="D439" t="str">
        <f>VLOOKUP($B439,'[1]DB PV ENI'!$A$4:$H$577,3,FALSE)</f>
        <v>PIEMONTE</v>
      </c>
      <c r="E439" t="str">
        <f>VLOOKUP($B439,'[1]DB PV ENI'!$A$4:$H$577,4,FALSE)</f>
        <v>VERBANO CUSIO OSSOLA</v>
      </c>
      <c r="F439" t="str">
        <f>VLOOKUP($B439,'[1]DB PV ENI'!$A$4:$H$577,5,FALSE)</f>
        <v>VERBANIA</v>
      </c>
      <c r="G439" t="str">
        <f>VLOOKUP($B439,'[1]DB PV ENI'!$A$4:$H$577,6,FALSE)</f>
        <v>CORSO EUROPA</v>
      </c>
      <c r="H439">
        <v>1</v>
      </c>
      <c r="I439" s="1">
        <v>0</v>
      </c>
      <c r="J439" s="1">
        <v>1</v>
      </c>
      <c r="K439" s="1">
        <v>0</v>
      </c>
      <c r="L439" s="4">
        <v>0</v>
      </c>
    </row>
    <row r="440" spans="1:12" x14ac:dyDescent="0.15">
      <c r="A440" s="3" t="s">
        <v>12</v>
      </c>
      <c r="B440">
        <v>52106</v>
      </c>
      <c r="C440" t="str">
        <f>VLOOKUP($B440,'[1]DB PV ENI'!$A$4:$H$577,2,FALSE)</f>
        <v>NORD OVEST</v>
      </c>
      <c r="D440" t="str">
        <f>VLOOKUP($B440,'[1]DB PV ENI'!$A$4:$H$577,3,FALSE)</f>
        <v>LOMBARDIA</v>
      </c>
      <c r="E440" t="str">
        <f>VLOOKUP($B440,'[1]DB PV ENI'!$A$4:$H$577,4,FALSE)</f>
        <v>MILANO</v>
      </c>
      <c r="F440" t="str">
        <f>VLOOKUP($B440,'[1]DB PV ENI'!$A$4:$H$577,5,FALSE)</f>
        <v>MILANO</v>
      </c>
      <c r="G440" t="str">
        <f>VLOOKUP($B440,'[1]DB PV ENI'!$A$4:$H$577,6,FALSE)</f>
        <v>GALVANI 34</v>
      </c>
      <c r="H440">
        <v>2</v>
      </c>
      <c r="I440" s="1">
        <v>2</v>
      </c>
      <c r="J440" s="1">
        <v>0</v>
      </c>
      <c r="K440" s="1">
        <v>0</v>
      </c>
      <c r="L440" s="4" t="e">
        <v>#DIV/0!</v>
      </c>
    </row>
    <row r="441" spans="1:12" x14ac:dyDescent="0.15">
      <c r="A441" s="3" t="s">
        <v>12</v>
      </c>
      <c r="B441">
        <v>52221</v>
      </c>
      <c r="C441" t="str">
        <f>VLOOKUP($B441,'[1]DB PV ENI'!$A$4:$H$577,2,FALSE)</f>
        <v>NORD OVEST</v>
      </c>
      <c r="D441" t="str">
        <f>VLOOKUP($B441,'[1]DB PV ENI'!$A$4:$H$577,3,FALSE)</f>
        <v>LOMBARDIA</v>
      </c>
      <c r="E441" t="str">
        <f>VLOOKUP($B441,'[1]DB PV ENI'!$A$4:$H$577,4,FALSE)</f>
        <v>MILANO</v>
      </c>
      <c r="F441" t="str">
        <f>VLOOKUP($B441,'[1]DB PV ENI'!$A$4:$H$577,5,FALSE)</f>
        <v>MILANO</v>
      </c>
      <c r="G441" t="str">
        <f>VLOOKUP($B441,'[1]DB PV ENI'!$A$4:$H$577,6,FALSE)</f>
        <v>PIAZZA TRENTO 38 ANGOLO VIALE ISONZO</v>
      </c>
      <c r="H441">
        <v>4</v>
      </c>
      <c r="I441" s="1">
        <v>0</v>
      </c>
      <c r="J441" s="1">
        <v>4</v>
      </c>
      <c r="K441" s="1">
        <v>0</v>
      </c>
      <c r="L441" s="4">
        <v>0</v>
      </c>
    </row>
    <row r="442" spans="1:12" x14ac:dyDescent="0.15">
      <c r="A442" s="3" t="s">
        <v>12</v>
      </c>
      <c r="B442">
        <v>53507</v>
      </c>
      <c r="C442" t="str">
        <f>VLOOKUP($B442,'[1]DB PV ENI'!$A$4:$H$577,2,FALSE)</f>
        <v>NORD OVEST</v>
      </c>
      <c r="D442" t="str">
        <f>VLOOKUP($B442,'[1]DB PV ENI'!$A$4:$H$577,3,FALSE)</f>
        <v>PIEMONTE</v>
      </c>
      <c r="E442" t="str">
        <f>VLOOKUP($B442,'[1]DB PV ENI'!$A$4:$H$577,4,FALSE)</f>
        <v>CUNEO</v>
      </c>
      <c r="F442" t="str">
        <f>VLOOKUP($B442,'[1]DB PV ENI'!$A$4:$H$577,5,FALSE)</f>
        <v>ALBA</v>
      </c>
      <c r="G442" t="str">
        <f>VLOOKUP($B442,'[1]DB PV ENI'!$A$4:$H$577,6,FALSE)</f>
        <v>VIA PIERA CILLARIO</v>
      </c>
      <c r="H442">
        <v>1</v>
      </c>
      <c r="I442" s="1">
        <v>0</v>
      </c>
      <c r="J442" s="1">
        <v>1</v>
      </c>
      <c r="K442" s="1">
        <v>0</v>
      </c>
      <c r="L442" s="4">
        <v>0</v>
      </c>
    </row>
    <row r="443" spans="1:12" x14ac:dyDescent="0.15">
      <c r="A443" s="3" t="s">
        <v>12</v>
      </c>
      <c r="B443">
        <v>54290</v>
      </c>
      <c r="C443" t="str">
        <f>VLOOKUP($B443,'[1]DB PV ENI'!$A$4:$H$577,2,FALSE)</f>
        <v>NORD OVEST</v>
      </c>
      <c r="D443" t="str">
        <f>VLOOKUP($B443,'[1]DB PV ENI'!$A$4:$H$577,3,FALSE)</f>
        <v>LIGURIA</v>
      </c>
      <c r="E443" t="str">
        <f>VLOOKUP($B443,'[1]DB PV ENI'!$A$4:$H$577,4,FALSE)</f>
        <v>GENOVA</v>
      </c>
      <c r="F443" t="str">
        <f>VLOOKUP($B443,'[1]DB PV ENI'!$A$4:$H$577,5,FALSE)</f>
        <v>GENOVA</v>
      </c>
      <c r="G443" t="str">
        <f>VLOOKUP($B443,'[1]DB PV ENI'!$A$4:$H$577,6,FALSE)</f>
        <v>CORSO DE STEFANIS 215/R</v>
      </c>
      <c r="H443">
        <v>4</v>
      </c>
      <c r="I443" s="1">
        <v>0</v>
      </c>
      <c r="J443" s="1">
        <v>4</v>
      </c>
      <c r="K443" s="1">
        <v>0</v>
      </c>
      <c r="L443" s="4">
        <v>0</v>
      </c>
    </row>
    <row r="444" spans="1:12" x14ac:dyDescent="0.15">
      <c r="A444" s="3" t="s">
        <v>12</v>
      </c>
      <c r="B444">
        <v>55827</v>
      </c>
      <c r="C444" t="str">
        <f>VLOOKUP($B444,'[1]DB PV ENI'!$A$4:$H$577,2,FALSE)</f>
        <v>NORD OVEST</v>
      </c>
      <c r="D444" t="str">
        <f>VLOOKUP($B444,'[1]DB PV ENI'!$A$4:$H$577,3,FALSE)</f>
        <v>PIEMONTE</v>
      </c>
      <c r="E444" t="str">
        <f>VLOOKUP($B444,'[1]DB PV ENI'!$A$4:$H$577,4,FALSE)</f>
        <v>TORINO</v>
      </c>
      <c r="F444" t="str">
        <f>VLOOKUP($B444,'[1]DB PV ENI'!$A$4:$H$577,5,FALSE)</f>
        <v>TORINO</v>
      </c>
      <c r="G444" t="str">
        <f>VLOOKUP($B444,'[1]DB PV ENI'!$A$4:$H$577,6,FALSE)</f>
        <v>VIA ALTESSANO 158</v>
      </c>
      <c r="H444">
        <v>38</v>
      </c>
      <c r="I444" s="1">
        <v>16</v>
      </c>
      <c r="J444" s="1">
        <v>22</v>
      </c>
      <c r="K444" s="1">
        <v>0</v>
      </c>
      <c r="L444" s="4">
        <v>0</v>
      </c>
    </row>
    <row r="445" spans="1:12" x14ac:dyDescent="0.15">
      <c r="A445" s="3" t="s">
        <v>12</v>
      </c>
      <c r="B445">
        <v>55864</v>
      </c>
      <c r="C445" t="str">
        <f>VLOOKUP($B445,'[1]DB PV ENI'!$A$4:$H$577,2,FALSE)</f>
        <v>NORD OVEST</v>
      </c>
      <c r="D445" t="str">
        <f>VLOOKUP($B445,'[1]DB PV ENI'!$A$4:$H$577,3,FALSE)</f>
        <v>PIEMONTE</v>
      </c>
      <c r="E445" t="str">
        <f>VLOOKUP($B445,'[1]DB PV ENI'!$A$4:$H$577,4,FALSE)</f>
        <v>ALESSANDRIA</v>
      </c>
      <c r="F445" t="str">
        <f>VLOOKUP($B445,'[1]DB PV ENI'!$A$4:$H$577,5,FALSE)</f>
        <v>OVADA</v>
      </c>
      <c r="G445" t="str">
        <f>VLOOKUP($B445,'[1]DB PV ENI'!$A$4:$H$577,6,FALSE)</f>
        <v>VIA GRAMSCI 9/A</v>
      </c>
      <c r="H445">
        <v>15</v>
      </c>
      <c r="I445" s="1">
        <v>5</v>
      </c>
      <c r="J445" s="1">
        <v>10</v>
      </c>
      <c r="K445" s="1">
        <v>0</v>
      </c>
      <c r="L445" s="4">
        <v>0</v>
      </c>
    </row>
    <row r="446" spans="1:12" x14ac:dyDescent="0.15">
      <c r="A446" s="3" t="s">
        <v>12</v>
      </c>
      <c r="B446">
        <v>55973</v>
      </c>
      <c r="C446" t="str">
        <f>VLOOKUP($B446,'[1]DB PV ENI'!$A$4:$H$577,2,FALSE)</f>
        <v>NORD OVEST</v>
      </c>
      <c r="D446" t="str">
        <f>VLOOKUP($B446,'[1]DB PV ENI'!$A$4:$H$577,3,FALSE)</f>
        <v>LOMBARDIA</v>
      </c>
      <c r="E446" t="str">
        <f>VLOOKUP($B446,'[1]DB PV ENI'!$A$4:$H$577,4,FALSE)</f>
        <v>BRESCIA</v>
      </c>
      <c r="F446" t="str">
        <f>VLOOKUP($B446,'[1]DB PV ENI'!$A$4:$H$577,5,FALSE)</f>
        <v>BOTTICINO</v>
      </c>
      <c r="G446" t="str">
        <f>VLOOKUP($B446,'[1]DB PV ENI'!$A$4:$H$577,6,FALSE)</f>
        <v>GARIBALDI 18</v>
      </c>
      <c r="H446">
        <v>4</v>
      </c>
      <c r="I446" s="1">
        <v>2</v>
      </c>
      <c r="J446" s="1">
        <v>2</v>
      </c>
      <c r="K446" s="1">
        <v>0</v>
      </c>
      <c r="L446" s="4">
        <v>0</v>
      </c>
    </row>
    <row r="447" spans="1:12" x14ac:dyDescent="0.15">
      <c r="A447" s="3" t="s">
        <v>12</v>
      </c>
      <c r="B447">
        <v>56030</v>
      </c>
      <c r="C447" t="str">
        <f>VLOOKUP($B447,'[1]DB PV ENI'!$A$4:$H$577,2,FALSE)</f>
        <v>NORD OVEST</v>
      </c>
      <c r="D447" t="str">
        <f>VLOOKUP($B447,'[1]DB PV ENI'!$A$4:$H$577,3,FALSE)</f>
        <v>LOMBARDIA</v>
      </c>
      <c r="E447" t="str">
        <f>VLOOKUP($B447,'[1]DB PV ENI'!$A$4:$H$577,4,FALSE)</f>
        <v>COMO</v>
      </c>
      <c r="F447" t="str">
        <f>VLOOKUP($B447,'[1]DB PV ENI'!$A$4:$H$577,5,FALSE)</f>
        <v>MARIANO COMENSE</v>
      </c>
      <c r="G447" t="str">
        <f>VLOOKUP($B447,'[1]DB PV ENI'!$A$4:$H$577,6,FALSE)</f>
        <v>V.LE BRIANZA</v>
      </c>
      <c r="H447">
        <v>29</v>
      </c>
      <c r="I447" s="1">
        <v>12</v>
      </c>
      <c r="J447" s="1">
        <v>17</v>
      </c>
      <c r="K447" s="1">
        <v>0</v>
      </c>
      <c r="L447" s="4">
        <v>0</v>
      </c>
    </row>
    <row r="448" spans="1:12" x14ac:dyDescent="0.15">
      <c r="A448" s="3" t="s">
        <v>12</v>
      </c>
      <c r="B448">
        <v>56055</v>
      </c>
      <c r="C448" t="str">
        <f>VLOOKUP($B448,'[1]DB PV ENI'!$A$4:$H$577,2,FALSE)</f>
        <v>NORD OVEST</v>
      </c>
      <c r="D448" t="str">
        <f>VLOOKUP($B448,'[1]DB PV ENI'!$A$4:$H$577,3,FALSE)</f>
        <v>LOMBARDIA</v>
      </c>
      <c r="E448" t="str">
        <f>VLOOKUP($B448,'[1]DB PV ENI'!$A$4:$H$577,4,FALSE)</f>
        <v>MILANO</v>
      </c>
      <c r="F448" t="str">
        <f>VLOOKUP($B448,'[1]DB PV ENI'!$A$4:$H$577,5,FALSE)</f>
        <v>MILANO</v>
      </c>
      <c r="G448" t="str">
        <f>VLOOKUP($B448,'[1]DB PV ENI'!$A$4:$H$577,6,FALSE)</f>
        <v>PL LOTTO 14/A ANG VI ELIA</v>
      </c>
      <c r="H448">
        <v>10</v>
      </c>
      <c r="I448" s="1">
        <v>3</v>
      </c>
      <c r="J448" s="1">
        <v>7</v>
      </c>
      <c r="K448" s="1">
        <v>0</v>
      </c>
      <c r="L448" s="4">
        <v>0</v>
      </c>
    </row>
    <row r="449" spans="1:12" x14ac:dyDescent="0.15">
      <c r="A449" s="3" t="s">
        <v>12</v>
      </c>
      <c r="B449">
        <v>56133</v>
      </c>
      <c r="C449" t="str">
        <f>VLOOKUP($B449,'[1]DB PV ENI'!$A$4:$H$577,2,FALSE)</f>
        <v>NORD OVEST</v>
      </c>
      <c r="D449" t="str">
        <f>VLOOKUP($B449,'[1]DB PV ENI'!$A$4:$H$577,3,FALSE)</f>
        <v>LOMBARDIA</v>
      </c>
      <c r="E449" t="str">
        <f>VLOOKUP($B449,'[1]DB PV ENI'!$A$4:$H$577,4,FALSE)</f>
        <v>MONZA E DELLA BRIANZA</v>
      </c>
      <c r="F449" t="str">
        <f>VLOOKUP($B449,'[1]DB PV ENI'!$A$4:$H$577,5,FALSE)</f>
        <v>LIMBIATE</v>
      </c>
      <c r="G449" t="str">
        <f>VLOOKUP($B449,'[1]DB PV ENI'!$A$4:$H$577,6,FALSE)</f>
        <v>VIALE DEI MILLE</v>
      </c>
      <c r="H449">
        <v>25</v>
      </c>
      <c r="I449" s="1">
        <v>13</v>
      </c>
      <c r="J449" s="1">
        <v>12</v>
      </c>
      <c r="K449" s="1">
        <v>0</v>
      </c>
      <c r="L449" s="4">
        <v>0</v>
      </c>
    </row>
    <row r="450" spans="1:12" x14ac:dyDescent="0.15">
      <c r="A450" s="3" t="s">
        <v>12</v>
      </c>
      <c r="B450">
        <v>56232</v>
      </c>
      <c r="C450" t="str">
        <f>VLOOKUP($B450,'[1]DB PV ENI'!$A$4:$H$577,2,FALSE)</f>
        <v>NORD OVEST</v>
      </c>
      <c r="D450" t="str">
        <f>VLOOKUP($B450,'[1]DB PV ENI'!$A$4:$H$577,3,FALSE)</f>
        <v>LOMBARDIA</v>
      </c>
      <c r="E450" t="str">
        <f>VLOOKUP($B450,'[1]DB PV ENI'!$A$4:$H$577,4,FALSE)</f>
        <v>MILANO</v>
      </c>
      <c r="F450" t="str">
        <f>VLOOKUP($B450,'[1]DB PV ENI'!$A$4:$H$577,5,FALSE)</f>
        <v>MILANO</v>
      </c>
      <c r="G450" t="str">
        <f>VLOOKUP($B450,'[1]DB PV ENI'!$A$4:$H$577,6,FALSE)</f>
        <v>VIALE PAPINIANO  54 54</v>
      </c>
      <c r="H450">
        <v>13</v>
      </c>
      <c r="I450" s="1">
        <v>5</v>
      </c>
      <c r="J450" s="1">
        <v>8</v>
      </c>
      <c r="K450" s="1">
        <v>0</v>
      </c>
      <c r="L450" s="4">
        <v>0</v>
      </c>
    </row>
    <row r="451" spans="1:12" x14ac:dyDescent="0.15">
      <c r="A451" s="3" t="s">
        <v>12</v>
      </c>
      <c r="B451">
        <v>56297</v>
      </c>
      <c r="C451" t="str">
        <f>VLOOKUP($B451,'[1]DB PV ENI'!$A$4:$H$577,2,FALSE)</f>
        <v>NORD OVEST</v>
      </c>
      <c r="D451" t="str">
        <f>VLOOKUP($B451,'[1]DB PV ENI'!$A$4:$H$577,3,FALSE)</f>
        <v>LOMBARDIA</v>
      </c>
      <c r="E451" t="str">
        <f>VLOOKUP($B451,'[1]DB PV ENI'!$A$4:$H$577,4,FALSE)</f>
        <v>BERGAMO</v>
      </c>
      <c r="F451" t="str">
        <f>VLOOKUP($B451,'[1]DB PV ENI'!$A$4:$H$577,5,FALSE)</f>
        <v>SAN PAOLO D'ARGON</v>
      </c>
      <c r="G451" t="str">
        <f>VLOOKUP($B451,'[1]DB PV ENI'!$A$4:$H$577,6,FALSE)</f>
        <v>SS 42</v>
      </c>
      <c r="H451">
        <v>7</v>
      </c>
      <c r="I451" s="1">
        <v>4</v>
      </c>
      <c r="J451" s="1">
        <v>3</v>
      </c>
      <c r="K451" s="1">
        <v>0</v>
      </c>
      <c r="L451" s="4">
        <v>0</v>
      </c>
    </row>
    <row r="452" spans="1:12" x14ac:dyDescent="0.15">
      <c r="A452" s="3" t="s">
        <v>12</v>
      </c>
      <c r="B452">
        <v>56612</v>
      </c>
      <c r="C452" t="str">
        <f>VLOOKUP($B452,'[1]DB PV ENI'!$A$4:$H$577,2,FALSE)</f>
        <v>NORD OVEST</v>
      </c>
      <c r="D452" t="str">
        <f>VLOOKUP($B452,'[1]DB PV ENI'!$A$4:$H$577,3,FALSE)</f>
        <v>LOMBARDIA</v>
      </c>
      <c r="E452" t="str">
        <f>VLOOKUP($B452,'[1]DB PV ENI'!$A$4:$H$577,4,FALSE)</f>
        <v>SONDRIO</v>
      </c>
      <c r="F452" t="str">
        <f>VLOOKUP($B452,'[1]DB PV ENI'!$A$4:$H$577,5,FALSE)</f>
        <v>PIANTEDO</v>
      </c>
      <c r="G452" t="str">
        <f>VLOOKUP($B452,'[1]DB PV ENI'!$A$4:$H$577,6,FALSE)</f>
        <v>VIA NAZIONALE 1146</v>
      </c>
      <c r="H452">
        <v>8</v>
      </c>
      <c r="I452" s="1">
        <v>3</v>
      </c>
      <c r="J452" s="1">
        <v>5</v>
      </c>
      <c r="K452" s="1">
        <v>0</v>
      </c>
      <c r="L452" s="4">
        <v>0</v>
      </c>
    </row>
    <row r="453" spans="1:12" x14ac:dyDescent="0.15">
      <c r="A453" s="3" t="s">
        <v>12</v>
      </c>
      <c r="B453">
        <v>56817</v>
      </c>
      <c r="C453" t="str">
        <f>VLOOKUP($B453,'[1]DB PV ENI'!$A$4:$H$577,2,FALSE)</f>
        <v>NORD OVEST</v>
      </c>
      <c r="D453" t="str">
        <f>VLOOKUP($B453,'[1]DB PV ENI'!$A$4:$H$577,3,FALSE)</f>
        <v>LOMBARDIA</v>
      </c>
      <c r="E453" t="str">
        <f>VLOOKUP($B453,'[1]DB PV ENI'!$A$4:$H$577,4,FALSE)</f>
        <v>VARESE</v>
      </c>
      <c r="F453" t="str">
        <f>VLOOKUP($B453,'[1]DB PV ENI'!$A$4:$H$577,5,FALSE)</f>
        <v>SARONNO</v>
      </c>
      <c r="G453" t="str">
        <f>VLOOKUP($B453,'[1]DB PV ENI'!$A$4:$H$577,6,FALSE)</f>
        <v>VIA ROMA ANGOLO VIA IMOLA</v>
      </c>
      <c r="H453">
        <v>88</v>
      </c>
      <c r="I453" s="1">
        <v>45</v>
      </c>
      <c r="J453" s="1">
        <v>43</v>
      </c>
      <c r="K453" s="1">
        <v>0</v>
      </c>
      <c r="L453" s="4">
        <v>0</v>
      </c>
    </row>
    <row r="454" spans="1:12" x14ac:dyDescent="0.15">
      <c r="A454" s="3" t="s">
        <v>12</v>
      </c>
      <c r="B454">
        <v>57273</v>
      </c>
      <c r="C454" t="str">
        <f>VLOOKUP($B454,'[1]DB PV ENI'!$A$4:$H$577,2,FALSE)</f>
        <v>NORD OVEST</v>
      </c>
      <c r="D454" t="str">
        <f>VLOOKUP($B454,'[1]DB PV ENI'!$A$4:$H$577,3,FALSE)</f>
        <v>LOMBARDIA</v>
      </c>
      <c r="E454" t="str">
        <f>VLOOKUP($B454,'[1]DB PV ENI'!$A$4:$H$577,4,FALSE)</f>
        <v>BRESCIA</v>
      </c>
      <c r="F454" t="str">
        <f>VLOOKUP($B454,'[1]DB PV ENI'!$A$4:$H$577,5,FALSE)</f>
        <v>BRESCIA</v>
      </c>
      <c r="G454" t="str">
        <f>VLOOKUP($B454,'[1]DB PV ENI'!$A$4:$H$577,6,FALSE)</f>
        <v>VIA BORGOSATOLLO 77</v>
      </c>
      <c r="H454">
        <v>68</v>
      </c>
      <c r="I454" s="1">
        <v>12</v>
      </c>
      <c r="J454" s="1">
        <v>56</v>
      </c>
      <c r="K454" s="1">
        <v>0</v>
      </c>
      <c r="L454" s="4">
        <v>0</v>
      </c>
    </row>
    <row r="455" spans="1:12" x14ac:dyDescent="0.15">
      <c r="A455" s="3" t="s">
        <v>12</v>
      </c>
      <c r="B455">
        <v>57560</v>
      </c>
      <c r="C455" t="str">
        <f>VLOOKUP($B455,'[1]DB PV ENI'!$A$4:$H$577,2,FALSE)</f>
        <v>NORD OVEST</v>
      </c>
      <c r="D455" t="str">
        <f>VLOOKUP($B455,'[1]DB PV ENI'!$A$4:$H$577,3,FALSE)</f>
        <v>LOMBARDIA</v>
      </c>
      <c r="E455" t="str">
        <f>VLOOKUP($B455,'[1]DB PV ENI'!$A$4:$H$577,4,FALSE)</f>
        <v>MILANO</v>
      </c>
      <c r="F455" t="str">
        <f>VLOOKUP($B455,'[1]DB PV ENI'!$A$4:$H$577,5,FALSE)</f>
        <v>CORNAREDO</v>
      </c>
      <c r="G455" t="str">
        <f>VLOOKUP($B455,'[1]DB PV ENI'!$A$4:$H$577,6,FALSE)</f>
        <v>VIA GARIBALDI</v>
      </c>
      <c r="H455">
        <v>15</v>
      </c>
      <c r="I455" s="1">
        <v>6</v>
      </c>
      <c r="J455" s="1">
        <v>9</v>
      </c>
      <c r="K455" s="1">
        <v>0</v>
      </c>
      <c r="L455" s="4">
        <v>0</v>
      </c>
    </row>
    <row r="456" spans="1:12" x14ac:dyDescent="0.15">
      <c r="A456" s="3" t="s">
        <v>12</v>
      </c>
      <c r="B456">
        <v>59001</v>
      </c>
      <c r="C456" t="str">
        <f>VLOOKUP($B456,'[1]DB PV ENI'!$A$4:$H$577,2,FALSE)</f>
        <v>NORD OVEST</v>
      </c>
      <c r="D456" t="str">
        <f>VLOOKUP($B456,'[1]DB PV ENI'!$A$4:$H$577,3,FALSE)</f>
        <v>VALLE D'AOSTA</v>
      </c>
      <c r="E456" t="str">
        <f>VLOOKUP($B456,'[1]DB PV ENI'!$A$4:$H$577,4,FALSE)</f>
        <v>AOSTA</v>
      </c>
      <c r="F456" t="str">
        <f>VLOOKUP($B456,'[1]DB PV ENI'!$A$4:$H$577,5,FALSE)</f>
        <v>SAINT-CHRISTOPHE</v>
      </c>
      <c r="G456" t="str">
        <f>VLOOKUP($B456,'[1]DB PV ENI'!$A$4:$H$577,6,FALSE)</f>
        <v>S.S. N. 26 KM 99+263 - LOC. GRAND CHEMIN  SNC</v>
      </c>
      <c r="H456">
        <v>7</v>
      </c>
      <c r="I456" s="1">
        <v>3</v>
      </c>
      <c r="J456" s="1">
        <v>4</v>
      </c>
      <c r="K456" s="1">
        <v>0</v>
      </c>
      <c r="L456" s="4">
        <v>0</v>
      </c>
    </row>
    <row r="457" spans="1:12" x14ac:dyDescent="0.15">
      <c r="A457" s="3" t="s">
        <v>12</v>
      </c>
      <c r="B457">
        <v>59047</v>
      </c>
      <c r="C457" t="str">
        <f>VLOOKUP($B457,'[1]DB PV ENI'!$A$4:$H$577,2,FALSE)</f>
        <v>NORD OVEST</v>
      </c>
      <c r="D457" t="str">
        <f>VLOOKUP($B457,'[1]DB PV ENI'!$A$4:$H$577,3,FALSE)</f>
        <v>LOMBARDIA</v>
      </c>
      <c r="E457" t="str">
        <f>VLOOKUP($B457,'[1]DB PV ENI'!$A$4:$H$577,4,FALSE)</f>
        <v>COMO</v>
      </c>
      <c r="F457" t="str">
        <f>VLOOKUP($B457,'[1]DB PV ENI'!$A$4:$H$577,5,FALSE)</f>
        <v>COMO</v>
      </c>
      <c r="G457" t="str">
        <f>VLOOKUP($B457,'[1]DB PV ENI'!$A$4:$H$577,6,FALSE)</f>
        <v>VIA CECILIO 1</v>
      </c>
      <c r="H457">
        <v>11</v>
      </c>
      <c r="I457" s="1">
        <v>4</v>
      </c>
      <c r="J457" s="1">
        <v>7</v>
      </c>
      <c r="K457" s="1">
        <v>0</v>
      </c>
      <c r="L457" s="4">
        <v>0</v>
      </c>
    </row>
    <row r="458" spans="1:12" x14ac:dyDescent="0.15">
      <c r="A458" s="3" t="s">
        <v>12</v>
      </c>
      <c r="B458">
        <v>59066</v>
      </c>
      <c r="C458" t="str">
        <f>VLOOKUP($B458,'[1]DB PV ENI'!$A$4:$H$577,2,FALSE)</f>
        <v>NORD OVEST</v>
      </c>
      <c r="D458" t="str">
        <f>VLOOKUP($B458,'[1]DB PV ENI'!$A$4:$H$577,3,FALSE)</f>
        <v>LOMBARDIA</v>
      </c>
      <c r="E458" t="str">
        <f>VLOOKUP($B458,'[1]DB PV ENI'!$A$4:$H$577,4,FALSE)</f>
        <v>MILANO</v>
      </c>
      <c r="F458" t="str">
        <f>VLOOKUP($B458,'[1]DB PV ENI'!$A$4:$H$577,5,FALSE)</f>
        <v>GARBAGNATE MILANESE</v>
      </c>
      <c r="G458" t="str">
        <f>VLOOKUP($B458,'[1]DB PV ENI'!$A$4:$H$577,6,FALSE)</f>
        <v>SS VARESINA KM 13+770</v>
      </c>
      <c r="H458">
        <v>32</v>
      </c>
      <c r="I458" s="1">
        <v>11</v>
      </c>
      <c r="J458" s="1">
        <v>21</v>
      </c>
      <c r="K458" s="1">
        <v>0</v>
      </c>
      <c r="L458" s="4">
        <v>0</v>
      </c>
    </row>
    <row r="459" spans="1:12" x14ac:dyDescent="0.15">
      <c r="A459" s="3" t="s">
        <v>12</v>
      </c>
      <c r="B459">
        <v>59894</v>
      </c>
      <c r="C459" t="str">
        <f>VLOOKUP($B459,'[1]DB PV ENI'!$A$4:$H$577,2,FALSE)</f>
        <v>NORD OVEST</v>
      </c>
      <c r="D459" t="str">
        <f>VLOOKUP($B459,'[1]DB PV ENI'!$A$4:$H$577,3,FALSE)</f>
        <v>LOMBARDIA</v>
      </c>
      <c r="E459" t="str">
        <f>VLOOKUP($B459,'[1]DB PV ENI'!$A$4:$H$577,4,FALSE)</f>
        <v>BRESCIA</v>
      </c>
      <c r="F459" t="str">
        <f>VLOOKUP($B459,'[1]DB PV ENI'!$A$4:$H$577,5,FALSE)</f>
        <v>BRESCIA</v>
      </c>
      <c r="G459" t="str">
        <f>VLOOKUP($B459,'[1]DB PV ENI'!$A$4:$H$577,6,FALSE)</f>
        <v>V. DE GASP./TANG. S KM 6+930</v>
      </c>
      <c r="H459">
        <v>2</v>
      </c>
      <c r="I459" s="1">
        <v>0</v>
      </c>
      <c r="J459" s="1">
        <v>2</v>
      </c>
      <c r="K459" s="1">
        <v>0</v>
      </c>
      <c r="L459" s="4">
        <v>0</v>
      </c>
    </row>
    <row r="460" spans="1:12" x14ac:dyDescent="0.15">
      <c r="A460" s="3" t="s">
        <v>12</v>
      </c>
      <c r="B460">
        <v>8063</v>
      </c>
      <c r="C460" t="str">
        <f>VLOOKUP($B460,'[1]DB PV ENI'!$A$4:$H$577,2,FALSE)</f>
        <v>SUD</v>
      </c>
      <c r="D460" t="str">
        <f>VLOOKUP($B460,'[1]DB PV ENI'!$A$4:$H$577,3,FALSE)</f>
        <v>CAMPANIA</v>
      </c>
      <c r="E460" t="str">
        <f>VLOOKUP($B460,'[1]DB PV ENI'!$A$4:$H$577,4,FALSE)</f>
        <v>NAPOLI</v>
      </c>
      <c r="F460" t="str">
        <f>VLOOKUP($B460,'[1]DB PV ENI'!$A$4:$H$577,5,FALSE)</f>
        <v>NAPOLI</v>
      </c>
      <c r="G460" t="str">
        <f>VLOOKUP($B460,'[1]DB PV ENI'!$A$4:$H$577,6,FALSE)</f>
        <v>STADERA POGGIOREALE</v>
      </c>
      <c r="H460">
        <v>5</v>
      </c>
      <c r="I460" s="1">
        <v>1</v>
      </c>
      <c r="J460" s="1">
        <v>4</v>
      </c>
      <c r="K460" s="1">
        <v>0</v>
      </c>
      <c r="L460" s="4">
        <v>0</v>
      </c>
    </row>
    <row r="461" spans="1:12" x14ac:dyDescent="0.15">
      <c r="A461" s="3" t="s">
        <v>12</v>
      </c>
      <c r="B461">
        <v>8647</v>
      </c>
      <c r="C461" t="str">
        <f>VLOOKUP($B461,'[1]DB PV ENI'!$A$4:$H$577,2,FALSE)</f>
        <v>SUD</v>
      </c>
      <c r="D461" t="str">
        <f>VLOOKUP($B461,'[1]DB PV ENI'!$A$4:$H$577,3,FALSE)</f>
        <v>CALABRIA</v>
      </c>
      <c r="E461" t="str">
        <f>VLOOKUP($B461,'[1]DB PV ENI'!$A$4:$H$577,4,FALSE)</f>
        <v>COSENZA</v>
      </c>
      <c r="F461" t="str">
        <f>VLOOKUP($B461,'[1]DB PV ENI'!$A$4:$H$577,5,FALSE)</f>
        <v>CASTIGLIONE COSENTINO</v>
      </c>
      <c r="G461" t="str">
        <f>VLOOKUP($B461,'[1]DB PV ENI'!$A$4:$H$577,6,FALSE)</f>
        <v>VIA PONTE CRATI SNC</v>
      </c>
      <c r="H461">
        <v>4</v>
      </c>
      <c r="I461" s="1">
        <v>1</v>
      </c>
      <c r="J461" s="1">
        <v>3</v>
      </c>
      <c r="K461" s="1">
        <v>0</v>
      </c>
      <c r="L461" s="4">
        <v>0</v>
      </c>
    </row>
    <row r="462" spans="1:12" x14ac:dyDescent="0.15">
      <c r="A462" s="3" t="s">
        <v>12</v>
      </c>
      <c r="B462">
        <v>9010</v>
      </c>
      <c r="C462" t="str">
        <f>VLOOKUP($B462,'[1]DB PV ENI'!$A$4:$H$577,2,FALSE)</f>
        <v>SUD</v>
      </c>
      <c r="D462" t="str">
        <f>VLOOKUP($B462,'[1]DB PV ENI'!$A$4:$H$577,3,FALSE)</f>
        <v>PUGLIA</v>
      </c>
      <c r="E462" t="str">
        <f>VLOOKUP($B462,'[1]DB PV ENI'!$A$4:$H$577,4,FALSE)</f>
        <v>BARLETTA ANDRIA TRANI</v>
      </c>
      <c r="F462" t="str">
        <f>VLOOKUP($B462,'[1]DB PV ENI'!$A$4:$H$577,5,FALSE)</f>
        <v>BARLETTA</v>
      </c>
      <c r="G462" t="str">
        <f>VLOOKUP($B462,'[1]DB PV ENI'!$A$4:$H$577,6,FALSE)</f>
        <v>S.S.93 PER CANOSA KM.2+746 SN</v>
      </c>
      <c r="H462">
        <v>4</v>
      </c>
      <c r="I462" s="1">
        <v>0</v>
      </c>
      <c r="J462" s="1">
        <v>4</v>
      </c>
      <c r="K462" s="1">
        <v>0</v>
      </c>
      <c r="L462" s="4">
        <v>0</v>
      </c>
    </row>
    <row r="463" spans="1:12" x14ac:dyDescent="0.15">
      <c r="A463" s="3" t="s">
        <v>12</v>
      </c>
      <c r="B463">
        <v>9119</v>
      </c>
      <c r="C463" t="str">
        <f>VLOOKUP($B463,'[1]DB PV ENI'!$A$4:$H$577,2,FALSE)</f>
        <v>SUD</v>
      </c>
      <c r="D463" t="str">
        <f>VLOOKUP($B463,'[1]DB PV ENI'!$A$4:$H$577,3,FALSE)</f>
        <v>PUGLIA</v>
      </c>
      <c r="E463" t="str">
        <f>VLOOKUP($B463,'[1]DB PV ENI'!$A$4:$H$577,4,FALSE)</f>
        <v>BARI</v>
      </c>
      <c r="F463" t="str">
        <f>VLOOKUP($B463,'[1]DB PV ENI'!$A$4:$H$577,5,FALSE)</f>
        <v>BARI</v>
      </c>
      <c r="G463" t="str">
        <f>VLOOKUP($B463,'[1]DB PV ENI'!$A$4:$H$577,6,FALSE)</f>
        <v>VIA BITRITTO KM 4+197</v>
      </c>
      <c r="H463">
        <v>2</v>
      </c>
      <c r="I463" s="1">
        <v>2</v>
      </c>
      <c r="J463" s="1">
        <v>0</v>
      </c>
      <c r="K463" s="1">
        <v>0</v>
      </c>
      <c r="L463" s="4" t="e">
        <v>#DIV/0!</v>
      </c>
    </row>
    <row r="464" spans="1:12" x14ac:dyDescent="0.15">
      <c r="A464" s="3" t="s">
        <v>12</v>
      </c>
      <c r="B464">
        <v>9139</v>
      </c>
      <c r="C464" t="str">
        <f>VLOOKUP($B464,'[1]DB PV ENI'!$A$4:$H$577,2,FALSE)</f>
        <v>SUD</v>
      </c>
      <c r="D464" t="str">
        <f>VLOOKUP($B464,'[1]DB PV ENI'!$A$4:$H$577,3,FALSE)</f>
        <v>PUGLIA</v>
      </c>
      <c r="E464" t="str">
        <f>VLOOKUP($B464,'[1]DB PV ENI'!$A$4:$H$577,4,FALSE)</f>
        <v>BARI</v>
      </c>
      <c r="F464" t="str">
        <f>VLOOKUP($B464,'[1]DB PV ENI'!$A$4:$H$577,5,FALSE)</f>
        <v>CASAMASSIMA</v>
      </c>
      <c r="G464" t="str">
        <f>VLOOKUP($B464,'[1]DB PV ENI'!$A$4:$H$577,6,FALSE)</f>
        <v>S.S. 100 KM. 20+123</v>
      </c>
      <c r="H464">
        <v>3</v>
      </c>
      <c r="I464" s="1">
        <v>1</v>
      </c>
      <c r="J464" s="1">
        <v>2</v>
      </c>
      <c r="K464" s="1">
        <v>0</v>
      </c>
      <c r="L464" s="4">
        <v>0</v>
      </c>
    </row>
    <row r="465" spans="1:12" x14ac:dyDescent="0.15">
      <c r="A465" s="3" t="s">
        <v>12</v>
      </c>
      <c r="B465">
        <v>9267</v>
      </c>
      <c r="C465" t="str">
        <f>VLOOKUP($B465,'[1]DB PV ENI'!$A$4:$H$577,2,FALSE)</f>
        <v>SUD</v>
      </c>
      <c r="D465" t="str">
        <f>VLOOKUP($B465,'[1]DB PV ENI'!$A$4:$H$577,3,FALSE)</f>
        <v>PUGLIA</v>
      </c>
      <c r="E465" t="str">
        <f>VLOOKUP($B465,'[1]DB PV ENI'!$A$4:$H$577,4,FALSE)</f>
        <v>FOGGIA</v>
      </c>
      <c r="F465" t="str">
        <f>VLOOKUP($B465,'[1]DB PV ENI'!$A$4:$H$577,5,FALSE)</f>
        <v>LESINA</v>
      </c>
      <c r="G465" t="str">
        <f>VLOOKUP($B465,'[1]DB PV ENI'!$A$4:$H$577,6,FALSE)</f>
        <v>SUPERSTRADA PER RODI</v>
      </c>
      <c r="H465">
        <v>1</v>
      </c>
      <c r="I465" s="1">
        <v>0</v>
      </c>
      <c r="J465" s="1">
        <v>1</v>
      </c>
      <c r="K465" s="1">
        <v>0</v>
      </c>
      <c r="L465" s="4">
        <v>0</v>
      </c>
    </row>
    <row r="466" spans="1:12" x14ac:dyDescent="0.15">
      <c r="A466" s="3" t="s">
        <v>12</v>
      </c>
      <c r="B466">
        <v>19554</v>
      </c>
      <c r="C466" t="str">
        <f>VLOOKUP($B466,'[1]DB PV ENI'!$A$4:$H$577,2,FALSE)</f>
        <v>SUD</v>
      </c>
      <c r="D466" t="str">
        <f>VLOOKUP($B466,'[1]DB PV ENI'!$A$4:$H$577,3,FALSE)</f>
        <v>SICILIA</v>
      </c>
      <c r="E466" t="str">
        <f>VLOOKUP($B466,'[1]DB PV ENI'!$A$4:$H$577,4,FALSE)</f>
        <v>CATANIA</v>
      </c>
      <c r="F466" t="str">
        <f>VLOOKUP($B466,'[1]DB PV ENI'!$A$4:$H$577,5,FALSE)</f>
        <v>CATANIA</v>
      </c>
      <c r="G466" t="str">
        <f>VLOOKUP($B466,'[1]DB PV ENI'!$A$4:$H$577,6,FALSE)</f>
        <v>VIA ACQUICELLA PORTO 5</v>
      </c>
      <c r="H466">
        <v>11</v>
      </c>
      <c r="I466" s="1">
        <v>1</v>
      </c>
      <c r="J466" s="1">
        <v>10</v>
      </c>
      <c r="K466" s="1">
        <v>0</v>
      </c>
      <c r="L466" s="4">
        <v>0</v>
      </c>
    </row>
    <row r="467" spans="1:12" x14ac:dyDescent="0.15">
      <c r="A467" s="3" t="s">
        <v>12</v>
      </c>
      <c r="B467">
        <v>19569</v>
      </c>
      <c r="C467" t="str">
        <f>VLOOKUP($B467,'[1]DB PV ENI'!$A$4:$H$577,2,FALSE)</f>
        <v>SUD</v>
      </c>
      <c r="D467" t="str">
        <f>VLOOKUP($B467,'[1]DB PV ENI'!$A$4:$H$577,3,FALSE)</f>
        <v>SICILIA</v>
      </c>
      <c r="E467" t="str">
        <f>VLOOKUP($B467,'[1]DB PV ENI'!$A$4:$H$577,4,FALSE)</f>
        <v>CATANIA</v>
      </c>
      <c r="F467" t="str">
        <f>VLOOKUP($B467,'[1]DB PV ENI'!$A$4:$H$577,5,FALSE)</f>
        <v>PATERNÒ</v>
      </c>
      <c r="G467" t="str">
        <f>VLOOKUP($B467,'[1]DB PV ENI'!$A$4:$H$577,6,FALSE)</f>
        <v>USCITA PER SCHETTINO</v>
      </c>
      <c r="H467">
        <v>12</v>
      </c>
      <c r="I467" s="1">
        <v>2</v>
      </c>
      <c r="J467" s="1">
        <v>10</v>
      </c>
      <c r="K467" s="1">
        <v>0</v>
      </c>
      <c r="L467" s="4">
        <v>0</v>
      </c>
    </row>
    <row r="468" spans="1:12" x14ac:dyDescent="0.15">
      <c r="A468" s="3" t="s">
        <v>12</v>
      </c>
      <c r="B468">
        <v>29658</v>
      </c>
      <c r="C468" t="str">
        <f>VLOOKUP($B468,'[1]DB PV ENI'!$A$4:$H$577,2,FALSE)</f>
        <v>SUD</v>
      </c>
      <c r="D468" t="str">
        <f>VLOOKUP($B468,'[1]DB PV ENI'!$A$4:$H$577,3,FALSE)</f>
        <v>SICILIA</v>
      </c>
      <c r="E468" t="str">
        <f>VLOOKUP($B468,'[1]DB PV ENI'!$A$4:$H$577,4,FALSE)</f>
        <v>MESSINA</v>
      </c>
      <c r="F468" t="str">
        <f>VLOOKUP($B468,'[1]DB PV ENI'!$A$4:$H$577,5,FALSE)</f>
        <v>MESSINA</v>
      </c>
      <c r="G468" t="str">
        <f>VLOOKUP($B468,'[1]DB PV ENI'!$A$4:$H$577,6,FALSE)</f>
        <v>VIA UMBERTO BONINO, 1</v>
      </c>
      <c r="H468">
        <v>23</v>
      </c>
      <c r="I468" s="1">
        <v>1</v>
      </c>
      <c r="J468" s="1">
        <v>22</v>
      </c>
      <c r="K468" s="1">
        <v>0</v>
      </c>
      <c r="L468" s="4">
        <v>0</v>
      </c>
    </row>
    <row r="469" spans="1:12" x14ac:dyDescent="0.15">
      <c r="A469" s="3" t="s">
        <v>12</v>
      </c>
      <c r="B469">
        <v>54340</v>
      </c>
      <c r="C469" t="str">
        <f>VLOOKUP($B469,'[1]DB PV ENI'!$A$4:$H$577,2,FALSE)</f>
        <v>SUD</v>
      </c>
      <c r="D469" t="str">
        <f>VLOOKUP($B469,'[1]DB PV ENI'!$A$4:$H$577,3,FALSE)</f>
        <v>CAMPANIA</v>
      </c>
      <c r="E469" t="str">
        <f>VLOOKUP($B469,'[1]DB PV ENI'!$A$4:$H$577,4,FALSE)</f>
        <v>BENEVENTO</v>
      </c>
      <c r="F469" t="str">
        <f>VLOOKUP($B469,'[1]DB PV ENI'!$A$4:$H$577,5,FALSE)</f>
        <v>BENEVENTO</v>
      </c>
      <c r="G469" t="str">
        <f>VLOOKUP($B469,'[1]DB PV ENI'!$A$4:$H$577,6,FALSE)</f>
        <v>LOCALITA' CAPODIMONTE SNC.</v>
      </c>
      <c r="H469">
        <v>16</v>
      </c>
      <c r="I469" s="1">
        <v>4</v>
      </c>
      <c r="J469" s="1">
        <v>12</v>
      </c>
      <c r="K469" s="1">
        <v>0</v>
      </c>
      <c r="L469" s="4">
        <v>0</v>
      </c>
    </row>
    <row r="470" spans="1:12" x14ac:dyDescent="0.15">
      <c r="A470" s="3" t="s">
        <v>12</v>
      </c>
      <c r="B470">
        <v>54613</v>
      </c>
      <c r="C470" t="str">
        <f>VLOOKUP($B470,'[1]DB PV ENI'!$A$4:$H$577,2,FALSE)</f>
        <v>SUD</v>
      </c>
      <c r="D470" t="str">
        <f>VLOOKUP($B470,'[1]DB PV ENI'!$A$4:$H$577,3,FALSE)</f>
        <v>CAMPANIA</v>
      </c>
      <c r="E470" t="str">
        <f>VLOOKUP($B470,'[1]DB PV ENI'!$A$4:$H$577,4,FALSE)</f>
        <v>CASERTA</v>
      </c>
      <c r="F470" t="str">
        <f>VLOOKUP($B470,'[1]DB PV ENI'!$A$4:$H$577,5,FALSE)</f>
        <v>SAN NICOLA LA STRADA</v>
      </c>
      <c r="G470" t="str">
        <f>VLOOKUP($B470,'[1]DB PV ENI'!$A$4:$H$577,6,FALSE)</f>
        <v>SAN NICOLA EST</v>
      </c>
      <c r="H470">
        <v>1</v>
      </c>
      <c r="I470" s="1">
        <v>0</v>
      </c>
      <c r="J470" s="1">
        <v>1</v>
      </c>
      <c r="K470" s="1">
        <v>0</v>
      </c>
      <c r="L470" s="4">
        <v>0</v>
      </c>
    </row>
    <row r="471" spans="1:12" x14ac:dyDescent="0.15">
      <c r="A471" s="3" t="s">
        <v>12</v>
      </c>
      <c r="B471">
        <v>55861</v>
      </c>
      <c r="C471" t="str">
        <f>VLOOKUP($B471,'[1]DB PV ENI'!$A$4:$H$577,2,FALSE)</f>
        <v>SUD</v>
      </c>
      <c r="D471" t="str">
        <f>VLOOKUP($B471,'[1]DB PV ENI'!$A$4:$H$577,3,FALSE)</f>
        <v>CAMPANIA</v>
      </c>
      <c r="E471" t="str">
        <f>VLOOKUP($B471,'[1]DB PV ENI'!$A$4:$H$577,4,FALSE)</f>
        <v>AVELLINO</v>
      </c>
      <c r="F471" t="str">
        <f>VLOOKUP($B471,'[1]DB PV ENI'!$A$4:$H$577,5,FALSE)</f>
        <v>MERCOGLIANO</v>
      </c>
      <c r="G471" t="str">
        <f>VLOOKUP($B471,'[1]DB PV ENI'!$A$4:$H$577,6,FALSE)</f>
        <v>VIA N.SANTANGELO SNC</v>
      </c>
      <c r="H471">
        <v>58</v>
      </c>
      <c r="I471" s="1">
        <v>26</v>
      </c>
      <c r="J471" s="1">
        <v>32</v>
      </c>
      <c r="K471" s="1">
        <v>0</v>
      </c>
      <c r="L471" s="4">
        <v>0</v>
      </c>
    </row>
    <row r="472" spans="1:12" x14ac:dyDescent="0.15">
      <c r="A472" s="3" t="s">
        <v>12</v>
      </c>
      <c r="B472">
        <v>56298</v>
      </c>
      <c r="C472" t="str">
        <f>VLOOKUP($B472,'[1]DB PV ENI'!$A$4:$H$577,2,FALSE)</f>
        <v>SUD</v>
      </c>
      <c r="D472" t="str">
        <f>VLOOKUP($B472,'[1]DB PV ENI'!$A$4:$H$577,3,FALSE)</f>
        <v>PUGLIA</v>
      </c>
      <c r="E472" t="str">
        <f>VLOOKUP($B472,'[1]DB PV ENI'!$A$4:$H$577,4,FALSE)</f>
        <v>TARANTO</v>
      </c>
      <c r="F472" t="str">
        <f>VLOOKUP($B472,'[1]DB PV ENI'!$A$4:$H$577,5,FALSE)</f>
        <v>TARANTO</v>
      </c>
      <c r="G472" t="str">
        <f>VLOOKUP($B472,'[1]DB PV ENI'!$A$4:$H$577,6,FALSE)</f>
        <v>VL MAGNA GRECIA, 114</v>
      </c>
      <c r="H472">
        <v>30</v>
      </c>
      <c r="I472" s="1">
        <v>15</v>
      </c>
      <c r="J472" s="1">
        <v>15</v>
      </c>
      <c r="K472" s="1">
        <v>0</v>
      </c>
      <c r="L472" s="4">
        <v>0</v>
      </c>
    </row>
    <row r="473" spans="1:12" x14ac:dyDescent="0.15">
      <c r="A473" s="3" t="s">
        <v>12</v>
      </c>
      <c r="B473">
        <v>56391</v>
      </c>
      <c r="C473" t="str">
        <f>VLOOKUP($B473,'[1]DB PV ENI'!$A$4:$H$577,2,FALSE)</f>
        <v>SUD</v>
      </c>
      <c r="D473" t="str">
        <f>VLOOKUP($B473,'[1]DB PV ENI'!$A$4:$H$577,3,FALSE)</f>
        <v>SICILIA</v>
      </c>
      <c r="E473" t="str">
        <f>VLOOKUP($B473,'[1]DB PV ENI'!$A$4:$H$577,4,FALSE)</f>
        <v>CATANIA</v>
      </c>
      <c r="F473" t="str">
        <f>VLOOKUP($B473,'[1]DB PV ENI'!$A$4:$H$577,5,FALSE)</f>
        <v>MISTERBIANCO</v>
      </c>
      <c r="G473" t="str">
        <f>VLOOKUP($B473,'[1]DB PV ENI'!$A$4:$H$577,6,FALSE)</f>
        <v>VIA CARLO MARX 60</v>
      </c>
      <c r="H473">
        <v>70</v>
      </c>
      <c r="I473" s="1">
        <v>36</v>
      </c>
      <c r="J473" s="1">
        <v>34</v>
      </c>
      <c r="K473" s="1">
        <v>0</v>
      </c>
      <c r="L473" s="4">
        <v>0</v>
      </c>
    </row>
    <row r="474" spans="1:12" x14ac:dyDescent="0.15">
      <c r="A474" s="3" t="s">
        <v>12</v>
      </c>
      <c r="B474">
        <v>56553</v>
      </c>
      <c r="C474" t="str">
        <f>VLOOKUP($B474,'[1]DB PV ENI'!$A$4:$H$577,2,FALSE)</f>
        <v>SUD</v>
      </c>
      <c r="D474" t="str">
        <f>VLOOKUP($B474,'[1]DB PV ENI'!$A$4:$H$577,3,FALSE)</f>
        <v>SICILIA</v>
      </c>
      <c r="E474" t="str">
        <f>VLOOKUP($B474,'[1]DB PV ENI'!$A$4:$H$577,4,FALSE)</f>
        <v>CATANIA</v>
      </c>
      <c r="F474" t="str">
        <f>VLOOKUP($B474,'[1]DB PV ENI'!$A$4:$H$577,5,FALSE)</f>
        <v>ACIREALE</v>
      </c>
      <c r="G474" t="str">
        <f>VLOOKUP($B474,'[1]DB PV ENI'!$A$4:$H$577,6,FALSE)</f>
        <v>NAZIONALE 102 PER CATANIA</v>
      </c>
      <c r="H474">
        <v>23</v>
      </c>
      <c r="I474" s="1">
        <v>9</v>
      </c>
      <c r="J474" s="1">
        <v>14</v>
      </c>
      <c r="K474" s="1">
        <v>0</v>
      </c>
      <c r="L474" s="4">
        <v>0</v>
      </c>
    </row>
    <row r="475" spans="1:12" x14ac:dyDescent="0.15">
      <c r="A475" s="3" t="s">
        <v>12</v>
      </c>
      <c r="B475">
        <v>56584</v>
      </c>
      <c r="C475" t="str">
        <f>VLOOKUP($B475,'[1]DB PV ENI'!$A$4:$H$577,2,FALSE)</f>
        <v>SUD</v>
      </c>
      <c r="D475" t="str">
        <f>VLOOKUP($B475,'[1]DB PV ENI'!$A$4:$H$577,3,FALSE)</f>
        <v>PUGLIA</v>
      </c>
      <c r="E475" t="str">
        <f>VLOOKUP($B475,'[1]DB PV ENI'!$A$4:$H$577,4,FALSE)</f>
        <v>BARI</v>
      </c>
      <c r="F475" t="str">
        <f>VLOOKUP($B475,'[1]DB PV ENI'!$A$4:$H$577,5,FALSE)</f>
        <v>POLIGNANO A MARE</v>
      </c>
      <c r="G475" t="str">
        <f>VLOOKUP($B475,'[1]DB PV ENI'!$A$4:$H$577,6,FALSE)</f>
        <v>SS ADRIATICA KM 838+890</v>
      </c>
      <c r="H475">
        <v>59</v>
      </c>
      <c r="I475" s="1">
        <v>24</v>
      </c>
      <c r="J475" s="1">
        <v>35</v>
      </c>
      <c r="K475" s="1">
        <v>0</v>
      </c>
      <c r="L475" s="4">
        <v>0</v>
      </c>
    </row>
    <row r="476" spans="1:12" x14ac:dyDescent="0.15">
      <c r="A476" s="3" t="s">
        <v>12</v>
      </c>
      <c r="B476">
        <v>59427</v>
      </c>
      <c r="C476" t="str">
        <f>VLOOKUP($B476,'[1]DB PV ENI'!$A$4:$H$577,2,FALSE)</f>
        <v>SUD</v>
      </c>
      <c r="D476" t="str">
        <f>VLOOKUP($B476,'[1]DB PV ENI'!$A$4:$H$577,3,FALSE)</f>
        <v>SICILIA</v>
      </c>
      <c r="E476" t="str">
        <f>VLOOKUP($B476,'[1]DB PV ENI'!$A$4:$H$577,4,FALSE)</f>
        <v>CATANIA</v>
      </c>
      <c r="F476" t="str">
        <f>VLOOKUP($B476,'[1]DB PV ENI'!$A$4:$H$577,5,FALSE)</f>
        <v>CALATABIANO</v>
      </c>
      <c r="G476" t="str">
        <f>VLOOKUP($B476,'[1]DB PV ENI'!$A$4:$H$577,6,FALSE)</f>
        <v>C. DA PASTERIA</v>
      </c>
      <c r="H476">
        <v>22</v>
      </c>
      <c r="I476" s="1">
        <v>11</v>
      </c>
      <c r="J476" s="1">
        <v>11</v>
      </c>
      <c r="K476" s="1">
        <v>0</v>
      </c>
      <c r="L476" s="4">
        <v>0</v>
      </c>
    </row>
    <row r="477" spans="1:12" x14ac:dyDescent="0.15">
      <c r="A477" s="3" t="s">
        <v>12</v>
      </c>
      <c r="B477">
        <v>38033</v>
      </c>
      <c r="C477" t="e">
        <f>VLOOKUP($B477,'[1]DB PV ENI'!$A$4:$H$577,2,FALSE)</f>
        <v>#N/A</v>
      </c>
      <c r="D477" t="e">
        <f>VLOOKUP($B477,'[1]DB PV ENI'!$A$4:$H$577,3,FALSE)</f>
        <v>#N/A</v>
      </c>
      <c r="E477" t="e">
        <f>VLOOKUP($B477,'[1]DB PV ENI'!$A$4:$H$577,4,FALSE)</f>
        <v>#N/A</v>
      </c>
      <c r="F477" t="e">
        <f>VLOOKUP($B477,'[1]DB PV ENI'!$A$4:$H$577,5,FALSE)</f>
        <v>#N/A</v>
      </c>
      <c r="G477" t="e">
        <f>VLOOKUP($B477,'[1]DB PV ENI'!$A$4:$H$577,6,FALSE)</f>
        <v>#N/A</v>
      </c>
      <c r="H477">
        <v>4</v>
      </c>
      <c r="I477" s="1">
        <v>0</v>
      </c>
      <c r="J477" s="1">
        <v>4</v>
      </c>
      <c r="K477" s="1">
        <v>0</v>
      </c>
      <c r="L477" s="4">
        <v>0</v>
      </c>
    </row>
  </sheetData>
  <autoFilter ref="A2:L2" xr:uid="{FC8DC262-EB70-47C3-A4C2-58D766057059}">
    <sortState xmlns:xlrd2="http://schemas.microsoft.com/office/spreadsheetml/2017/richdata2" ref="A3:L477">
      <sortCondition descending="1" ref="K2"/>
    </sortState>
  </autoFilter>
  <mergeCells count="1">
    <mergeCell ref="H1:L1"/>
  </mergeCells>
  <conditionalFormatting sqref="L3:L477">
    <cfRule type="cellIs" dxfId="2" priority="1" operator="between">
      <formula>0.01</formula>
      <formula>0.39</formula>
    </cfRule>
    <cfRule type="cellIs" dxfId="1" priority="2" operator="equal">
      <formula>0</formula>
    </cfRule>
    <cfRule type="cellIs" dxfId="0" priority="3" operator="greaterThan">
      <formula>0.39</formula>
    </cfRule>
  </conditionalFormatting>
  <pageMargins left="0.75" right="0.75" top="1" bottom="1" header="0.5" footer="0.5"/>
  <headerFooter>
    <oddFooter>&amp;C_x000D_&amp;1#&amp;"Aptos"&amp;10&amp;K000000 Telepass -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AA9BC-AAA5-44FB-9C6A-072BD2FCD3F8}">
  <dimension ref="A1:I20"/>
  <sheetViews>
    <sheetView workbookViewId="0"/>
  </sheetViews>
  <sheetFormatPr defaultColWidth="8.8984375" defaultRowHeight="15" x14ac:dyDescent="0.2"/>
  <cols>
    <col min="1" max="2" width="8.8984375" style="5"/>
    <col min="3" max="9" width="8.8984375" style="6"/>
    <col min="10" max="16384" width="8.8984375" style="5"/>
  </cols>
  <sheetData>
    <row r="1" spans="1:9" s="7" customFormat="1" x14ac:dyDescent="0.2">
      <c r="A1" s="14" t="s">
        <v>14</v>
      </c>
      <c r="B1" s="14" t="s">
        <v>3</v>
      </c>
      <c r="C1" s="15" t="s">
        <v>15</v>
      </c>
      <c r="D1" s="16" t="s">
        <v>16</v>
      </c>
      <c r="E1" s="17" t="s">
        <v>17</v>
      </c>
      <c r="F1" s="18" t="s">
        <v>18</v>
      </c>
      <c r="G1" s="19" t="s">
        <v>19</v>
      </c>
      <c r="H1" s="20" t="s">
        <v>20</v>
      </c>
      <c r="I1" s="21" t="s">
        <v>21</v>
      </c>
    </row>
    <row r="2" spans="1:9" x14ac:dyDescent="0.2">
      <c r="A2" s="5" t="s">
        <v>22</v>
      </c>
      <c r="B2" s="5" t="s">
        <v>23</v>
      </c>
      <c r="C2" s="8">
        <v>5</v>
      </c>
      <c r="D2" s="9">
        <v>0.41699999999999998</v>
      </c>
      <c r="E2" s="10">
        <v>4</v>
      </c>
      <c r="F2" s="11">
        <v>0.33300000000000002</v>
      </c>
      <c r="G2" s="12">
        <v>3</v>
      </c>
      <c r="H2" s="13">
        <v>0.25</v>
      </c>
      <c r="I2" s="6">
        <v>12</v>
      </c>
    </row>
    <row r="3" spans="1:9" x14ac:dyDescent="0.2">
      <c r="A3" s="5" t="s">
        <v>22</v>
      </c>
      <c r="B3" s="5" t="s">
        <v>24</v>
      </c>
      <c r="C3" s="8">
        <v>15</v>
      </c>
      <c r="D3" s="9">
        <v>0.28799999999999998</v>
      </c>
      <c r="E3" s="10">
        <v>14</v>
      </c>
      <c r="F3" s="11">
        <v>0.26900000000000002</v>
      </c>
      <c r="G3" s="12">
        <v>23</v>
      </c>
      <c r="H3" s="13">
        <v>0.442</v>
      </c>
      <c r="I3" s="6">
        <v>52</v>
      </c>
    </row>
    <row r="4" spans="1:9" x14ac:dyDescent="0.2">
      <c r="A4" s="5" t="s">
        <v>22</v>
      </c>
      <c r="B4" s="5" t="s">
        <v>25</v>
      </c>
      <c r="C4" s="8">
        <v>1</v>
      </c>
      <c r="D4" s="9">
        <v>0.5</v>
      </c>
      <c r="E4" s="10">
        <v>0</v>
      </c>
      <c r="F4" s="11">
        <v>0</v>
      </c>
      <c r="G4" s="12">
        <v>1</v>
      </c>
      <c r="H4" s="13">
        <v>0.5</v>
      </c>
      <c r="I4" s="6">
        <v>2</v>
      </c>
    </row>
    <row r="5" spans="1:9" x14ac:dyDescent="0.2">
      <c r="A5" s="5" t="s">
        <v>22</v>
      </c>
      <c r="B5" s="5" t="s">
        <v>26</v>
      </c>
      <c r="C5" s="8">
        <v>22</v>
      </c>
      <c r="D5" s="9">
        <v>0.61099999999999999</v>
      </c>
      <c r="E5" s="10">
        <v>9</v>
      </c>
      <c r="F5" s="11">
        <v>0.25</v>
      </c>
      <c r="G5" s="12">
        <v>5</v>
      </c>
      <c r="H5" s="13">
        <v>0.13900000000000001</v>
      </c>
      <c r="I5" s="6">
        <v>36</v>
      </c>
    </row>
    <row r="6" spans="1:9" x14ac:dyDescent="0.2">
      <c r="A6" s="5" t="s">
        <v>22</v>
      </c>
      <c r="B6" s="5" t="s">
        <v>27</v>
      </c>
      <c r="C6" s="8">
        <v>2</v>
      </c>
      <c r="D6" s="9">
        <v>0.4</v>
      </c>
      <c r="E6" s="10">
        <v>0</v>
      </c>
      <c r="F6" s="11">
        <v>0</v>
      </c>
      <c r="G6" s="12">
        <v>3</v>
      </c>
      <c r="H6" s="13">
        <v>0.6</v>
      </c>
      <c r="I6" s="6">
        <v>5</v>
      </c>
    </row>
    <row r="7" spans="1:9" x14ac:dyDescent="0.2">
      <c r="A7" s="5" t="s">
        <v>28</v>
      </c>
      <c r="B7" s="5" t="s">
        <v>29</v>
      </c>
      <c r="C7" s="8">
        <v>18</v>
      </c>
      <c r="D7" s="9">
        <v>0.32100000000000001</v>
      </c>
      <c r="E7" s="10">
        <v>11</v>
      </c>
      <c r="F7" s="11">
        <v>0.19600000000000001</v>
      </c>
      <c r="G7" s="12">
        <v>27</v>
      </c>
      <c r="H7" s="13">
        <v>0.48199999999999998</v>
      </c>
      <c r="I7" s="6">
        <v>56</v>
      </c>
    </row>
    <row r="8" spans="1:9" x14ac:dyDescent="0.2">
      <c r="A8" s="5" t="s">
        <v>28</v>
      </c>
      <c r="B8" s="5" t="s">
        <v>30</v>
      </c>
      <c r="C8" s="8">
        <v>2</v>
      </c>
      <c r="D8" s="9">
        <v>0.25</v>
      </c>
      <c r="E8" s="10">
        <v>4</v>
      </c>
      <c r="F8" s="11">
        <v>0.5</v>
      </c>
      <c r="G8" s="12">
        <v>2</v>
      </c>
      <c r="H8" s="13">
        <v>0.25</v>
      </c>
      <c r="I8" s="6">
        <v>8</v>
      </c>
    </row>
    <row r="9" spans="1:9" x14ac:dyDescent="0.2">
      <c r="A9" s="5" t="s">
        <v>28</v>
      </c>
      <c r="B9" s="5" t="s">
        <v>31</v>
      </c>
      <c r="C9" s="8">
        <v>9</v>
      </c>
      <c r="D9" s="9">
        <v>0.42899999999999999</v>
      </c>
      <c r="E9" s="10">
        <v>1</v>
      </c>
      <c r="F9" s="11">
        <v>4.8000000000000001E-2</v>
      </c>
      <c r="G9" s="12">
        <v>11</v>
      </c>
      <c r="H9" s="13">
        <v>0.52400000000000002</v>
      </c>
      <c r="I9" s="6">
        <v>21</v>
      </c>
    </row>
    <row r="10" spans="1:9" x14ac:dyDescent="0.2">
      <c r="A10" s="5" t="s">
        <v>28</v>
      </c>
      <c r="B10" s="5" t="s">
        <v>32</v>
      </c>
      <c r="C10" s="8">
        <v>0</v>
      </c>
      <c r="D10" s="9">
        <v>0</v>
      </c>
      <c r="E10" s="10">
        <v>0</v>
      </c>
      <c r="F10" s="11">
        <v>0</v>
      </c>
      <c r="G10" s="12">
        <v>2</v>
      </c>
      <c r="H10" s="13">
        <v>1</v>
      </c>
      <c r="I10" s="6">
        <v>2</v>
      </c>
    </row>
    <row r="11" spans="1:9" x14ac:dyDescent="0.2">
      <c r="A11" s="5" t="s">
        <v>28</v>
      </c>
      <c r="B11" s="5" t="s">
        <v>33</v>
      </c>
      <c r="C11" s="8">
        <v>18</v>
      </c>
      <c r="D11" s="9">
        <v>0.39100000000000001</v>
      </c>
      <c r="E11" s="10">
        <v>15</v>
      </c>
      <c r="F11" s="11">
        <v>0.32600000000000001</v>
      </c>
      <c r="G11" s="12">
        <v>13</v>
      </c>
      <c r="H11" s="13">
        <v>0.28299999999999997</v>
      </c>
      <c r="I11" s="6">
        <v>46</v>
      </c>
    </row>
    <row r="12" spans="1:9" x14ac:dyDescent="0.2">
      <c r="A12" s="5" t="s">
        <v>34</v>
      </c>
      <c r="B12" s="5" t="s">
        <v>35</v>
      </c>
      <c r="C12" s="8">
        <v>0</v>
      </c>
      <c r="D12" s="9">
        <v>0</v>
      </c>
      <c r="E12" s="10">
        <v>7</v>
      </c>
      <c r="F12" s="11">
        <v>0.36799999999999999</v>
      </c>
      <c r="G12" s="12">
        <v>12</v>
      </c>
      <c r="H12" s="13">
        <v>0.63200000000000001</v>
      </c>
      <c r="I12" s="6">
        <v>19</v>
      </c>
    </row>
    <row r="13" spans="1:9" x14ac:dyDescent="0.2">
      <c r="A13" s="5" t="s">
        <v>34</v>
      </c>
      <c r="B13" s="5" t="s">
        <v>36</v>
      </c>
      <c r="C13" s="8">
        <v>17</v>
      </c>
      <c r="D13" s="9">
        <v>0.19800000000000001</v>
      </c>
      <c r="E13" s="10">
        <v>33</v>
      </c>
      <c r="F13" s="11">
        <v>0.38400000000000001</v>
      </c>
      <c r="G13" s="12">
        <v>36</v>
      </c>
      <c r="H13" s="13">
        <v>0.41899999999999998</v>
      </c>
      <c r="I13" s="6">
        <v>86</v>
      </c>
    </row>
    <row r="14" spans="1:9" x14ac:dyDescent="0.2">
      <c r="A14" s="5" t="s">
        <v>34</v>
      </c>
      <c r="B14" s="5" t="s">
        <v>37</v>
      </c>
      <c r="C14" s="8">
        <v>17</v>
      </c>
      <c r="D14" s="9">
        <v>0.36199999999999999</v>
      </c>
      <c r="E14" s="10">
        <v>14</v>
      </c>
      <c r="F14" s="11">
        <v>0.29799999999999999</v>
      </c>
      <c r="G14" s="12">
        <v>16</v>
      </c>
      <c r="H14" s="13">
        <v>0.34</v>
      </c>
      <c r="I14" s="6">
        <v>47</v>
      </c>
    </row>
    <row r="15" spans="1:9" x14ac:dyDescent="0.2">
      <c r="A15" s="5" t="s">
        <v>34</v>
      </c>
      <c r="B15" s="5" t="s">
        <v>38</v>
      </c>
      <c r="C15" s="8">
        <v>0</v>
      </c>
      <c r="D15" s="9">
        <v>0</v>
      </c>
      <c r="E15" s="10">
        <v>0</v>
      </c>
      <c r="F15" s="11">
        <v>0</v>
      </c>
      <c r="G15" s="12">
        <v>2</v>
      </c>
      <c r="H15" s="13">
        <v>1</v>
      </c>
      <c r="I15" s="6">
        <v>2</v>
      </c>
    </row>
    <row r="16" spans="1:9" x14ac:dyDescent="0.2">
      <c r="A16" s="5" t="s">
        <v>39</v>
      </c>
      <c r="B16" s="5" t="s">
        <v>40</v>
      </c>
      <c r="C16" s="8">
        <v>0</v>
      </c>
      <c r="D16" s="9">
        <v>0</v>
      </c>
      <c r="E16" s="10">
        <v>1</v>
      </c>
      <c r="F16" s="11">
        <v>1</v>
      </c>
      <c r="G16" s="12">
        <v>0</v>
      </c>
      <c r="H16" s="13">
        <v>0</v>
      </c>
      <c r="I16" s="6">
        <v>1</v>
      </c>
    </row>
    <row r="17" spans="1:9" x14ac:dyDescent="0.2">
      <c r="A17" s="5" t="s">
        <v>39</v>
      </c>
      <c r="B17" s="5" t="s">
        <v>41</v>
      </c>
      <c r="C17" s="8">
        <v>0</v>
      </c>
      <c r="D17" s="9">
        <v>0</v>
      </c>
      <c r="E17" s="10">
        <v>0</v>
      </c>
      <c r="F17" s="11">
        <v>0</v>
      </c>
      <c r="G17" s="12">
        <v>1</v>
      </c>
      <c r="H17" s="13">
        <v>1</v>
      </c>
      <c r="I17" s="6">
        <v>1</v>
      </c>
    </row>
    <row r="18" spans="1:9" x14ac:dyDescent="0.2">
      <c r="A18" s="5" t="s">
        <v>39</v>
      </c>
      <c r="B18" s="5" t="s">
        <v>42</v>
      </c>
      <c r="C18" s="8">
        <v>14</v>
      </c>
      <c r="D18" s="9">
        <v>0.5</v>
      </c>
      <c r="E18" s="10">
        <v>10</v>
      </c>
      <c r="F18" s="11">
        <v>0.35699999999999998</v>
      </c>
      <c r="G18" s="12">
        <v>4</v>
      </c>
      <c r="H18" s="13">
        <v>0.14299999999999999</v>
      </c>
      <c r="I18" s="6">
        <v>28</v>
      </c>
    </row>
    <row r="19" spans="1:9" x14ac:dyDescent="0.2">
      <c r="A19" s="5" t="s">
        <v>39</v>
      </c>
      <c r="B19" s="5" t="s">
        <v>43</v>
      </c>
      <c r="C19" s="8">
        <v>4</v>
      </c>
      <c r="D19" s="9">
        <v>0.33300000000000002</v>
      </c>
      <c r="E19" s="10">
        <v>3</v>
      </c>
      <c r="F19" s="11">
        <v>0.25</v>
      </c>
      <c r="G19" s="12">
        <v>5</v>
      </c>
      <c r="H19" s="13">
        <v>0.41699999999999998</v>
      </c>
      <c r="I19" s="6">
        <v>12</v>
      </c>
    </row>
    <row r="20" spans="1:9" x14ac:dyDescent="0.2">
      <c r="A20" s="5" t="s">
        <v>39</v>
      </c>
      <c r="B20" s="5" t="s">
        <v>44</v>
      </c>
      <c r="C20" s="8">
        <v>11</v>
      </c>
      <c r="D20" s="9">
        <v>0.40699999999999997</v>
      </c>
      <c r="E20" s="10">
        <v>10</v>
      </c>
      <c r="F20" s="11">
        <v>0.37</v>
      </c>
      <c r="G20" s="12">
        <v>6</v>
      </c>
      <c r="H20" s="13">
        <v>0.222</v>
      </c>
      <c r="I20" s="6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ANALISI PROMO BUNDLE </vt:lpstr>
      <vt:lpstr>Sintesi Regione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Mazzetti</dc:creator>
  <cp:lastModifiedBy>Lorenzo Mazzetti</cp:lastModifiedBy>
  <dcterms:created xsi:type="dcterms:W3CDTF">2026-06-04T09:42:35Z</dcterms:created>
  <dcterms:modified xsi:type="dcterms:W3CDTF">2026-06-04T11:05:03Z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f1985-6c16-459c-aa4d-77065f56f819_Enabled">
    <vt:lpwstr>true</vt:lpwstr>
  </property>
  <property fmtid="{D5CDD505-2E9C-101B-9397-08002B2CF9AE}" pid="3" name="MSIP_Label_e65f1985-6c16-459c-aa4d-77065f56f819_SetDate">
    <vt:lpwstr>2026-06-04T09:44:39Z</vt:lpwstr>
  </property>
  <property fmtid="{D5CDD505-2E9C-101B-9397-08002B2CF9AE}" pid="4" name="MSIP_Label_e65f1985-6c16-459c-aa4d-77065f56f819_Method">
    <vt:lpwstr>Privileged</vt:lpwstr>
  </property>
  <property fmtid="{D5CDD505-2E9C-101B-9397-08002B2CF9AE}" pid="5" name="MSIP_Label_e65f1985-6c16-459c-aa4d-77065f56f819_Name">
    <vt:lpwstr>Internal</vt:lpwstr>
  </property>
  <property fmtid="{D5CDD505-2E9C-101B-9397-08002B2CF9AE}" pid="6" name="MSIP_Label_e65f1985-6c16-459c-aa4d-77065f56f819_SiteId">
    <vt:lpwstr>a171bf9d-5eab-4145-8cf5-2825b774ba81</vt:lpwstr>
  </property>
  <property fmtid="{D5CDD505-2E9C-101B-9397-08002B2CF9AE}" pid="7" name="MSIP_Label_e65f1985-6c16-459c-aa4d-77065f56f819_ActionId">
    <vt:lpwstr>2f752572-3a06-4a30-9438-478e301f094a</vt:lpwstr>
  </property>
  <property fmtid="{D5CDD505-2E9C-101B-9397-08002B2CF9AE}" pid="8" name="MSIP_Label_e65f1985-6c16-459c-aa4d-77065f56f819_ContentBits">
    <vt:lpwstr>2</vt:lpwstr>
  </property>
  <property fmtid="{D5CDD505-2E9C-101B-9397-08002B2CF9AE}" pid="9" name="MSIP_Label_e65f1985-6c16-459c-aa4d-77065f56f819_Tag">
    <vt:lpwstr>10, 0, 1, 1</vt:lpwstr>
  </property>
</Properties>
</file>